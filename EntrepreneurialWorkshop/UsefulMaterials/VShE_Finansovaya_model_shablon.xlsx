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Инструкция" sheetId="1" r:id="rId4"/>
    <sheet state="visible" name="⚙️ Допущения" sheetId="2" r:id="rId5"/>
    <sheet state="visible" name="📈 Выручка" sheetId="3" r:id="rId6"/>
    <sheet state="visible" name="💸 Расходы" sheetId="4" r:id="rId7"/>
    <sheet state="visible" name="📊 ОПУ" sheetId="5" r:id="rId8"/>
    <sheet state="visible" name="💰 ДДС" sheetId="6" r:id="rId9"/>
    <sheet state="visible" name="🎯 Дашборд" sheetId="7" r:id="rId10"/>
  </sheets>
  <definedNames/>
  <calcPr/>
  <extLst>
    <ext uri="GoogleSheetsCustomDataVersion2">
      <go:sheetsCustomData xmlns:go="http://customooxmlschemas.google.com/" r:id="rId11" roundtripDataChecksum="NrEhsgXjs1AJq5Zmjyg6tg+d6Ino71V10VLVUTt3834="/>
    </ext>
  </extLst>
</workbook>
</file>

<file path=xl/sharedStrings.xml><?xml version="1.0" encoding="utf-8"?>
<sst xmlns="http://schemas.openxmlformats.org/spreadsheetml/2006/main" count="382" uniqueCount="226">
  <si>
    <t>ФИНАНСОВАЯ МОДЕЛЬ — ШАБЛОН ДЛЯ СТАРТАПА</t>
  </si>
  <si>
    <t>Горизонт: 12 месяцев  |  Валюта: рубли  |  Детализация: помесячно</t>
  </si>
  <si>
    <t>ЦВЕТОВАЯ КОДИРОВКА</t>
  </si>
  <si>
    <t>Синий текст</t>
  </si>
  <si>
    <t>Вводные данные (допущения) — вы меняете эти ячейки</t>
  </si>
  <si>
    <t>Чёрный текст</t>
  </si>
  <si>
    <t>Формулы и расчёты — не трогайте вручную</t>
  </si>
  <si>
    <t>Зелёный текст</t>
  </si>
  <si>
    <t>Ссылки на другие листы внутри файла</t>
  </si>
  <si>
    <t>Жёлтый фон</t>
  </si>
  <si>
    <t>Ключевые допущения, требующие вашего внимания</t>
  </si>
  <si>
    <t>ЛИСТЫ МОДЕЛИ</t>
  </si>
  <si>
    <t>📋 Инструкция</t>
  </si>
  <si>
    <t>Этот лист — навигация и цветовые обозначения</t>
  </si>
  <si>
    <t>⚙️ Допущения</t>
  </si>
  <si>
    <t>ВСЕ вводные данные модели. Только здесь вносите изменения!</t>
  </si>
  <si>
    <t>📈 Выручка</t>
  </si>
  <si>
    <t>Расчёт выручки по продуктам/каналам от допущений</t>
  </si>
  <si>
    <t>💸 Расходы</t>
  </si>
  <si>
    <t>Постоянные и переменные расходы с разбивкой</t>
  </si>
  <si>
    <t>📊 ОПУ</t>
  </si>
  <si>
    <t>Отчёт о прибылях и убытках — план по месяцам</t>
  </si>
  <si>
    <t>💰 ДДС</t>
  </si>
  <si>
    <t>Движение денежных средств — реальный кэш на счёте</t>
  </si>
  <si>
    <t>🎯 Дашборд</t>
  </si>
  <si>
    <t>Ключевые метрики: runway, breakeven, юнит-экономика</t>
  </si>
  <si>
    <t>КАК РАБОТАТЬ С МОДЕЛЬЮ</t>
  </si>
  <si>
    <t>Шаг 1</t>
  </si>
  <si>
    <t>Откройте лист ⚙️ Допущения и заполните синие ячейки под свой бизнес</t>
  </si>
  <si>
    <t>Шаг 2</t>
  </si>
  <si>
    <t>Все остальные листы пересчитаются автоматически</t>
  </si>
  <si>
    <t>Шаг 3</t>
  </si>
  <si>
    <t>Проверьте 🎯 Дашборд — там ключевые метрики и выводы</t>
  </si>
  <si>
    <t>Шаг 4</t>
  </si>
  <si>
    <t>Каждый месяц вносите факт рядом с планом — так работает план-факт анализ</t>
  </si>
  <si>
    <t>Шаг 5</t>
  </si>
  <si>
    <t>Скопируйте лист ⚙️ Допущения 3 раза для сценариев: Base / Best / Worst</t>
  </si>
  <si>
    <t>⚙️ ДОПУЩЕНИЯ — вводите данные ТОЛЬКО здесь</t>
  </si>
  <si>
    <t>Синий = вводные данные (вы меняете)</t>
  </si>
  <si>
    <t>Жёлтый фон = ключевые допущения</t>
  </si>
  <si>
    <t>1. ОБЩИЕ СВЕДЕНИЯ</t>
  </si>
  <si>
    <t>Название компании</t>
  </si>
  <si>
    <t>Моя компания</t>
  </si>
  <si>
    <t>Год основания</t>
  </si>
  <si>
    <t>год</t>
  </si>
  <si>
    <t>Первый месяц модели (1=Янв)</t>
  </si>
  <si>
    <t>мес</t>
  </si>
  <si>
    <t>1 = январь, 7 = июль</t>
  </si>
  <si>
    <t>Год модели</t>
  </si>
  <si>
    <t>2. ВЫРУЧКА</t>
  </si>
  <si>
    <t>Продукт / услуга 1</t>
  </si>
  <si>
    <t xml:space="preserve">  Средний чек</t>
  </si>
  <si>
    <t>₽</t>
  </si>
  <si>
    <t>Цена одной продажи / подписки</t>
  </si>
  <si>
    <t xml:space="preserve">  Продаж в Январе</t>
  </si>
  <si>
    <t>шт</t>
  </si>
  <si>
    <t>Стартовый объём продаж</t>
  </si>
  <si>
    <t xml:space="preserve">  Ежемесячный рост продаж</t>
  </si>
  <si>
    <t>%</t>
  </si>
  <si>
    <t>Рост числа продаж месяц к месяцу</t>
  </si>
  <si>
    <t xml:space="preserve">  Отсрочка оплаты клиентом</t>
  </si>
  <si>
    <t>0 = сразу, 1 = следующий месяц</t>
  </si>
  <si>
    <t>Продукт / услуга 2 (если есть)</t>
  </si>
  <si>
    <t>0 = не используется</t>
  </si>
  <si>
    <t>3. ПОСТОЯННЫЕ РАСХОДЫ (ежемесячно)</t>
  </si>
  <si>
    <t>Аренда</t>
  </si>
  <si>
    <t>ФОТ (фонд оплаты труда)</t>
  </si>
  <si>
    <t>Включая НДФЛ и взносы (~43% сверху)</t>
  </si>
  <si>
    <t>Маркетинг (фикс. часть)</t>
  </si>
  <si>
    <t>Программное обеспечение / подписки</t>
  </si>
  <si>
    <t>Прочие постоянные расходы</t>
  </si>
  <si>
    <t>Рост постоянных расходов</t>
  </si>
  <si>
    <t>Ежемесячный рост постоянных расходов</t>
  </si>
  <si>
    <t>4. ПЕРЕМЕННЫЕ РАСХОДЫ (% от выручки)</t>
  </si>
  <si>
    <t>Себестоимость (COGS)</t>
  </si>
  <si>
    <t>Доля от выручки: сырьё, материалы</t>
  </si>
  <si>
    <t>Эквайринг / комиссии</t>
  </si>
  <si>
    <t>Комиссия платёжных систем</t>
  </si>
  <si>
    <t>Переменный маркетинг</t>
  </si>
  <si>
    <t>Реклама, привлечение клиентов</t>
  </si>
  <si>
    <t>Прочие переменные</t>
  </si>
  <si>
    <t>5. НАЛОГИ</t>
  </si>
  <si>
    <t>Налоговый режим</t>
  </si>
  <si>
    <t>УСН 6%</t>
  </si>
  <si>
    <t>УСН 6% / УСН 15% / ОСН</t>
  </si>
  <si>
    <t>Ставка налога (УСН доходы)</t>
  </si>
  <si>
    <t>6% для УСН «доходы»</t>
  </si>
  <si>
    <t>Ставка налога (УСН д-р)</t>
  </si>
  <si>
    <t>15% для УСН «доходы минус расходы»</t>
  </si>
  <si>
    <t>Авансы по налогу (ежекварт.)</t>
  </si>
  <si>
    <t>Да</t>
  </si>
  <si>
    <t>Налог платится авансами раз в квартал</t>
  </si>
  <si>
    <t>6. СТАРТОВЫЕ ИНВЕСТИЦИИ</t>
  </si>
  <si>
    <t>Начальный остаток на счёте</t>
  </si>
  <si>
    <t>Деньги на момент старта модели</t>
  </si>
  <si>
    <t>Инвестиции в оборудование</t>
  </si>
  <si>
    <t>Разовая покупка в первый месяц</t>
  </si>
  <si>
    <t>Прочие стартовые расходы</t>
  </si>
  <si>
    <t>Регистрация, сайт, депозит</t>
  </si>
  <si>
    <t>7. ЮНИТ-ЭКОНОМИКА</t>
  </si>
  <si>
    <t>CAC (стоимость привлечения 1 клиента)</t>
  </si>
  <si>
    <t>Маркетинг / число новых клиентов</t>
  </si>
  <si>
    <t>Средняя частота покупок в год</t>
  </si>
  <si>
    <t>раз</t>
  </si>
  <si>
    <t>Сколько раз клиент покупает за год</t>
  </si>
  <si>
    <t>Средний срок жизни клиента</t>
  </si>
  <si>
    <t>лет</t>
  </si>
  <si>
    <t>Как долго клиент остаётся с вами</t>
  </si>
  <si>
    <t>Маржинальность продукта</t>
  </si>
  <si>
    <t>💡 Совет: скопируйте этот лист 3 раза и назовите «Base», «Best», «Worst» для сценарного анализа</t>
  </si>
  <si>
    <t>📈 ВЫРУЧКА</t>
  </si>
  <si>
    <t>Все расчёты автоматические. Данные берутся из листа ⚙️ Допущения</t>
  </si>
  <si>
    <t>ПРОДУКТ / УСЛУГА 1</t>
  </si>
  <si>
    <t>Показатель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</si>
  <si>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</si>
  <si>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</si>
  <si>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</si>
  <si>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</si>
  <si>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</si>
  <si>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</si>
  <si>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</si>
  <si>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</si>
  <si>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</si>
  <si>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</si>
  <si>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</si>
  <si>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</si>
  <si>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ИТОГО год</t>
  </si>
  <si>
    <t>Кол-во продаж, шт</t>
  </si>
  <si>
    <t>Выручка, ₽</t>
  </si>
  <si>
    <t>ПРОДУКТ / УСЛУГА 2</t>
  </si>
  <si>
    <t>ИТОГО ВЫРУЧКА</t>
  </si>
  <si>
    <t>ИТОГО ВЫРУЧКА, ₽</t>
  </si>
  <si>
    <t>ИТОГО продаж, шт</t>
  </si>
  <si>
    <t>💸 РАСХОДЫ</t>
  </si>
  <si>
    <t>Постоянные расходы + переменные (% от выручки). Все данные из листа Допущения</t>
  </si>
  <si>
    <t>ПОСТОЯННЫЕ РАСХОДЫ</t>
  </si>
  <si>
    <t>ФОТ</t>
  </si>
  <si>
    <t>Маркетинг (фикс.)</t>
  </si>
  <si>
    <t>ПО и подписки</t>
  </si>
  <si>
    <t>Прочие постоянные</t>
  </si>
  <si>
    <t>ИТОГО постоянные</t>
  </si>
  <si>
    <t>ПЕРЕМЕННЫЕ РАСХОДЫ (% от выручки)</t>
  </si>
  <si>
    <t>ИТОГО переменные</t>
  </si>
  <si>
    <t>ИТОГО РАСХОДЫ</t>
  </si>
  <si>
    <t>ИТОГО ВСЕ РАСХОДЫ</t>
  </si>
  <si>
    <t>📊 ОПУ — ОТЧЁТ О ПРИБЫЛЯХ И УБЫТКАХ</t>
  </si>
  <si>
    <t>ВЫРУЧКА</t>
  </si>
  <si>
    <t xml:space="preserve">  — Себестоимость (COGS)</t>
  </si>
  <si>
    <t>ВАЛОВАЯ ПРИБЫЛЬ</t>
  </si>
  <si>
    <t xml:space="preserve">  Валовая маржа, %</t>
  </si>
  <si>
    <t>—</t>
  </si>
  <si>
    <t xml:space="preserve">  — Маркетинг (перем.)</t>
  </si>
  <si>
    <t xml:space="preserve">  — Эквайринг</t>
  </si>
  <si>
    <t xml:space="preserve">  — Прочие переменные</t>
  </si>
  <si>
    <t xml:space="preserve">  — Аренда</t>
  </si>
  <si>
    <t xml:space="preserve">  — ФОТ</t>
  </si>
  <si>
    <t xml:space="preserve">  — Маркетинг (фикс.)</t>
  </si>
  <si>
    <t xml:space="preserve">  — ПО и подписки</t>
  </si>
  <si>
    <t xml:space="preserve">  — Прочие постоянные</t>
  </si>
  <si>
    <t>EBITDA</t>
  </si>
  <si>
    <t xml:space="preserve">  EBITDA маржа, %</t>
  </si>
  <si>
    <t xml:space="preserve">  — Налог (УСН 6%)</t>
  </si>
  <si>
    <t>ЧИСТАЯ ПРИБЫЛЬ</t>
  </si>
  <si>
    <t xml:space="preserve">  Чистая маржа, %</t>
  </si>
  <si>
    <t>💰 ДДС — ДВИЖЕНИЕ ДЕНЕЖНЫХ СРЕДСТВ</t>
  </si>
  <si>
    <t>⚠️  Кассовый разрыв = остаток на конец месяца &lt; 0. Следите за строкой 'Остаток на конец'!</t>
  </si>
  <si>
    <t>ОСТАТОК НА НАЧАЛО</t>
  </si>
  <si>
    <t>ПОСТУПЛЕНИЯ (операц.)</t>
  </si>
  <si>
    <t xml:space="preserve">  + Оплаты от клиентов</t>
  </si>
  <si>
    <t>ВЫПЛАТЫ (операц.)</t>
  </si>
  <si>
    <t xml:space="preserve">  — Себестоимость</t>
  </si>
  <si>
    <t xml:space="preserve">  — Маркетинг</t>
  </si>
  <si>
    <t xml:space="preserve">  — Прочие расходы</t>
  </si>
  <si>
    <t xml:space="preserve">  — Налог (УСН)</t>
  </si>
  <si>
    <t>ОПЕРАЦИОННЫЙ ПОТОК (OCF)</t>
  </si>
  <si>
    <t>ИНВЕСТИЦИОННЫЙ ПОТОК (ICF)</t>
  </si>
  <si>
    <t xml:space="preserve">  — Покупка оборудования</t>
  </si>
  <si>
    <t>0</t>
  </si>
  <si>
    <t xml:space="preserve">  — Прочие инвестиции</t>
  </si>
  <si>
    <t>ФИНАНСОВЫЙ ПОТОК (FCF)</t>
  </si>
  <si>
    <t xml:space="preserve">  + Займы / кредиты</t>
  </si>
  <si>
    <t xml:space="preserve">  — Погашение долгов</t>
  </si>
  <si>
    <t>ИТОГО ПОТОК ЗА МЕСЯЦ</t>
  </si>
  <si>
    <t>ОСТАТОК НА КОНЕЦ</t>
  </si>
  <si>
    <t>⚠️  КАССОВЫЙ РАЗРЫВ?</t>
  </si>
  <si>
    <t>🎯 ДАШБОРД — КЛЮЧЕВЫЕ МЕТРИКИ</t>
  </si>
  <si>
    <t>ВЫРУЧКА И ПРИБЫЛЬ (ГОД)</t>
  </si>
  <si>
    <t>Выручка за год</t>
  </si>
  <si>
    <t>Сумма всей выручки за 12 мес.</t>
  </si>
  <si>
    <t>Валовая прибыль за год</t>
  </si>
  <si>
    <t>После вычета себестоимости</t>
  </si>
  <si>
    <t>EBITDA за год</t>
  </si>
  <si>
    <t>До налогов и амортизации</t>
  </si>
  <si>
    <t>Чистая прибыль за год</t>
  </si>
  <si>
    <t>После всех расходов и налогов</t>
  </si>
  <si>
    <t>Валовая маржа</t>
  </si>
  <si>
    <t>(Выручка − COGS) / Выручка</t>
  </si>
  <si>
    <t>Чистая маржа</t>
  </si>
  <si>
    <t>Чистая прибыль / Выручка</t>
  </si>
  <si>
    <t>КЭШФЛОУ И ВЫЖИВАЕМОСТЬ</t>
  </si>
  <si>
    <t>Кэш на начало года</t>
  </si>
  <si>
    <t>Остаток на счёте в первый месяц</t>
  </si>
  <si>
    <t>Кэш на конец года</t>
  </si>
  <si>
    <t>Остаток на счёте в декабре</t>
  </si>
  <si>
    <t>Минимальный остаток</t>
  </si>
  <si>
    <t>Наименьший остаток среди 12 мес. Должен быть &gt; 0!</t>
  </si>
  <si>
    <t>Cash burn (среднемес.)</t>
  </si>
  <si>
    <t>Сколько сжигаем денег в месяц (если &gt; 0 — убыточны)</t>
  </si>
  <si>
    <t>Runway (месяцев)</t>
  </si>
  <si>
    <t>Сколько месяцев проживём без новых денег</t>
  </si>
  <si>
    <t>ЮНИТ-ЭКОНОМИКА</t>
  </si>
  <si>
    <t>CAC</t>
  </si>
  <si>
    <t>Стоимость привлечения 1 клиента (из допущений)</t>
  </si>
  <si>
    <t>LTV (расчётный)</t>
  </si>
  <si>
    <t>Маржа × Чек × Частота × Срок жизни</t>
  </si>
  <si>
    <t>LTV / CAC</t>
  </si>
  <si>
    <t>Норма: &gt; 3x. Если &lt; 1x — бизнес-модель убыточна на клиенте</t>
  </si>
  <si>
    <t>ТОЧКА БЕЗУБЫТОЧНОСТИ</t>
  </si>
  <si>
    <t>Постоянные расходы/мес. (ср)</t>
  </si>
  <si>
    <t>Среднемесячные постоянные расходы за год</t>
  </si>
  <si>
    <t>Из допущений: (Цена − перем.расх.) / Цена</t>
  </si>
  <si>
    <t>Breakeven (выручка/мес.)</t>
  </si>
  <si>
    <t>Минимальная выручка для покрытия всех расходов</t>
  </si>
  <si>
    <t>Breakeven достигнут?</t>
  </si>
  <si>
    <t>Вышли ли в прибыль за 12 месяцев</t>
  </si>
  <si>
    <t>Цвета: синий = ввод в Допущениях | красный = требует внимания | зелёный = хороший показатель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</si>
</sst>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\(#,##0\);\-"/>
    <numFmt numFmtId="165" formatCode="#,##0&quot; ₽&quot;;\(#,##0&quot; ₽)&quot;;\-"/>
    <numFmt numFmtId="166" formatCode="0.0%;\(0.0%\);\-"/>
    <numFmt numFmtId="167" formatCode="0.0\x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Arial"/>
    </font>
    <font/>
    <font>
      <i/>
      <sz val="10.0"/>
      <color rgb="FF4A6274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3.0"/>
      <color rgb="FFFFFFFF"/>
      <name val="Arial"/>
    </font>
    <font>
      <i/>
      <sz val="9.0"/>
      <color rgb="FF0000FF"/>
      <name val="Arial"/>
    </font>
    <font>
      <i/>
      <sz val="9.0"/>
      <color rgb="FF4A6274"/>
      <name val="Arial"/>
    </font>
    <font>
      <b/>
      <sz val="10.0"/>
      <color rgb="FFFFFFFF"/>
      <name val="Arial"/>
    </font>
    <font>
      <sz val="10.0"/>
      <color rgb="FF000000"/>
      <name val="Arial"/>
    </font>
    <font>
      <sz val="10.0"/>
      <color rgb="FF0000FF"/>
      <name val="Arial"/>
    </font>
    <font>
      <sz val="9.0"/>
      <color rgb="FF4A6274"/>
      <name val="Arial"/>
    </font>
    <font>
      <b/>
      <sz val="10.0"/>
      <color rgb="FF000000"/>
      <name val="Arial"/>
    </font>
    <font>
      <i/>
      <sz val="9.0"/>
      <color rgb="FF0D7377"/>
      <name val="Arial"/>
    </font>
    <font>
      <sz val="10.0"/>
      <color rgb="FF008000"/>
      <name val="Arial"/>
    </font>
    <font>
      <b/>
      <sz val="10.0"/>
      <color rgb="FF008000"/>
      <name val="Arial"/>
    </font>
    <font>
      <b/>
      <i/>
      <sz val="9.0"/>
      <color rgb="FFC0392B"/>
      <name val="Arial"/>
    </font>
    <font>
      <b/>
      <sz val="10.0"/>
      <color rgb="FFC0392B"/>
      <name val="Arial"/>
    </font>
    <font>
      <b/>
      <sz val="14.0"/>
      <color rgb="FF0A2342"/>
      <name val="Arial"/>
    </font>
    <font>
      <b/>
      <sz val="14.0"/>
      <color rgb="FF0D7377"/>
      <name val="Arial"/>
    </font>
    <font>
      <b/>
      <sz val="14.0"/>
      <color rgb="FFC0392B"/>
      <name val="Arial"/>
    </font>
    <font>
      <b/>
      <sz val="14.0"/>
      <color rgb="FF4A6274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A2342"/>
        <bgColor rgb="FF0A2342"/>
      </patternFill>
    </fill>
    <fill>
      <patternFill patternType="solid">
        <fgColor rgb="FF4A6274"/>
        <bgColor rgb="FF4A6274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0D7377"/>
        <bgColor rgb="FF0D7377"/>
      </patternFill>
    </fill>
    <fill>
      <patternFill patternType="solid">
        <fgColor rgb="FFF5A623"/>
        <bgColor rgb="FFF5A623"/>
      </patternFill>
    </fill>
    <fill>
      <patternFill patternType="solid">
        <fgColor rgb="FFE8F4F4"/>
        <bgColor rgb="FFE8F4F4"/>
      </patternFill>
    </fill>
    <fill>
      <patternFill patternType="solid">
        <fgColor rgb="FFEAF0F4"/>
        <bgColor rgb="FFEAF0F4"/>
      </patternFill>
    </fill>
    <fill>
      <patternFill patternType="solid">
        <fgColor rgb="FFD9EAF7"/>
        <bgColor rgb="FFD9EAF7"/>
      </patternFill>
    </fill>
    <fill>
      <patternFill patternType="solid">
        <fgColor rgb="FFFEF9EC"/>
        <bgColor rgb="FFFEF9EC"/>
      </patternFill>
    </fill>
    <fill>
      <patternFill patternType="solid">
        <fgColor rgb="FFFDECEA"/>
        <bgColor rgb="FFFDECEA"/>
      </patternFill>
    </fill>
    <fill>
      <patternFill patternType="solid">
        <fgColor rgb="FFF4EAF4"/>
        <bgColor rgb="FFF4EAF4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CBD5E0"/>
      </bottom>
    </border>
    <border>
      <left/>
      <right/>
      <top/>
      <bottom style="thin">
        <color rgb="FFCBD5E0"/>
      </bottom>
    </border>
    <border>
      <bottom style="medium">
        <color rgb="FF4A6274"/>
      </bottom>
    </border>
    <border>
      <left/>
      <right/>
      <top/>
      <bottom style="medium">
        <color rgb="FF4A6274"/>
      </bottom>
    </border>
    <border>
      <top style="medium">
        <color rgb="FF0A2342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4" fillId="4" fontId="1" numFmtId="0" xfId="0" applyAlignment="1" applyBorder="1" applyFill="1" applyFont="1">
      <alignment shrinkToFit="0" vertical="bottom" wrapText="0"/>
    </xf>
    <xf borderId="4" fillId="4" fontId="6" numFmtId="0" xfId="0" applyAlignment="1" applyBorder="1" applyFont="1">
      <alignment shrinkToFit="0" vertical="center" wrapText="0"/>
    </xf>
    <xf borderId="4" fillId="4" fontId="7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1"/>
    </xf>
    <xf borderId="4" fillId="5" fontId="1" numFmtId="0" xfId="0" applyAlignment="1" applyBorder="1" applyFill="1" applyFont="1">
      <alignment shrinkToFit="0" vertical="bottom" wrapText="0"/>
    </xf>
    <xf borderId="4" fillId="5" fontId="6" numFmtId="0" xfId="0" applyAlignment="1" applyBorder="1" applyFont="1">
      <alignment shrinkToFit="0" vertical="center" wrapText="0"/>
    </xf>
    <xf borderId="4" fillId="5" fontId="7" numFmtId="0" xfId="0" applyAlignment="1" applyBorder="1" applyFont="1">
      <alignment shrinkToFit="0" vertical="center" wrapText="1"/>
    </xf>
    <xf borderId="4" fillId="6" fontId="1" numFmtId="0" xfId="0" applyAlignment="1" applyBorder="1" applyFill="1" applyFont="1">
      <alignment shrinkToFit="0" vertical="bottom" wrapText="0"/>
    </xf>
    <xf borderId="4" fillId="6" fontId="6" numFmtId="0" xfId="0" applyAlignment="1" applyBorder="1" applyFont="1">
      <alignment shrinkToFit="0" vertical="center" wrapText="0"/>
    </xf>
    <xf borderId="4" fillId="6" fontId="7" numFmtId="0" xfId="0" applyAlignment="1" applyBorder="1" applyFont="1">
      <alignment shrinkToFit="0" vertical="center" wrapText="1"/>
    </xf>
    <xf borderId="1" fillId="7" fontId="5" numFmtId="0" xfId="0" applyAlignment="1" applyBorder="1" applyFill="1" applyFont="1">
      <alignment shrinkToFit="0" vertical="bottom" wrapText="0"/>
    </xf>
    <xf borderId="1" fillId="8" fontId="5" numFmtId="0" xfId="0" applyAlignment="1" applyBorder="1" applyFill="1" applyFont="1">
      <alignment shrinkToFit="0" vertical="bottom" wrapText="0"/>
    </xf>
    <xf borderId="1" fillId="2" fontId="8" numFmtId="0" xfId="0" applyAlignment="1" applyBorder="1" applyFont="1">
      <alignment shrinkToFit="0" vertical="center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2" fontId="11" numFmtId="0" xfId="0" applyAlignment="1" applyBorder="1" applyFont="1">
      <alignment shrinkToFit="0" vertical="center" wrapText="0"/>
    </xf>
    <xf borderId="5" fillId="0" fontId="12" numFmtId="0" xfId="0" applyAlignment="1" applyBorder="1" applyFont="1">
      <alignment horizontal="left" shrinkToFit="0" vertical="center" wrapText="0"/>
    </xf>
    <xf borderId="5" fillId="0" fontId="13" numFmtId="164" xfId="0" applyAlignment="1" applyBorder="1" applyFont="1" applyNumberFormat="1">
      <alignment horizontal="right" shrinkToFit="0" vertical="center" wrapText="0"/>
    </xf>
    <xf borderId="0" fillId="0" fontId="14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left" shrinkToFit="0" vertical="center" wrapText="1"/>
    </xf>
    <xf borderId="1" fillId="7" fontId="11" numFmtId="0" xfId="0" applyAlignment="1" applyBorder="1" applyFont="1">
      <alignment shrinkToFit="0" vertical="center" wrapText="0"/>
    </xf>
    <xf borderId="0" fillId="0" fontId="15" numFmtId="0" xfId="0" applyAlignment="1" applyFont="1">
      <alignment horizontal="left" shrinkToFit="0" vertical="center" wrapText="0"/>
    </xf>
    <xf borderId="6" fillId="6" fontId="13" numFmtId="165" xfId="0" applyAlignment="1" applyBorder="1" applyFont="1" applyNumberFormat="1">
      <alignment horizontal="right" shrinkToFit="0" vertical="center" wrapText="0"/>
    </xf>
    <xf borderId="6" fillId="6" fontId="13" numFmtId="164" xfId="0" applyAlignment="1" applyBorder="1" applyFont="1" applyNumberFormat="1">
      <alignment horizontal="right" readingOrder="0" shrinkToFit="0" vertical="center" wrapText="0"/>
    </xf>
    <xf borderId="6" fillId="6" fontId="13" numFmtId="166" xfId="0" applyAlignment="1" applyBorder="1" applyFont="1" applyNumberFormat="1">
      <alignment horizontal="right" shrinkToFit="0" vertical="center" wrapText="0"/>
    </xf>
    <xf borderId="5" fillId="0" fontId="13" numFmtId="164" xfId="0" applyAlignment="1" applyBorder="1" applyFont="1" applyNumberFormat="1">
      <alignment horizontal="right" readingOrder="0" shrinkToFit="0" vertical="center" wrapText="0"/>
    </xf>
    <xf borderId="5" fillId="0" fontId="13" numFmtId="165" xfId="0" applyAlignment="1" applyBorder="1" applyFont="1" applyNumberFormat="1">
      <alignment horizontal="right" shrinkToFit="0" vertical="center" wrapText="0"/>
    </xf>
    <xf borderId="5" fillId="0" fontId="13" numFmtId="166" xfId="0" applyAlignment="1" applyBorder="1" applyFont="1" applyNumberFormat="1">
      <alignment horizontal="right" shrinkToFit="0" vertical="center" wrapText="0"/>
    </xf>
    <xf borderId="1" fillId="3" fontId="11" numFmtId="0" xfId="0" applyAlignment="1" applyBorder="1" applyFont="1">
      <alignment shrinkToFit="0" vertical="center" wrapText="0"/>
    </xf>
    <xf borderId="1" fillId="8" fontId="11" numFmtId="0" xfId="0" applyAlignment="1" applyBorder="1" applyFont="1">
      <alignment shrinkToFit="0" vertical="center" wrapText="0"/>
    </xf>
    <xf borderId="0" fillId="0" fontId="16" numFmtId="0" xfId="0" applyAlignment="1" applyFont="1">
      <alignment shrinkToFit="0" vertical="bottom" wrapText="0"/>
    </xf>
    <xf borderId="1" fillId="7" fontId="8" numFmtId="0" xfId="0" applyAlignment="1" applyBorder="1" applyFont="1">
      <alignment shrinkToFit="0" vertical="center" wrapText="0"/>
    </xf>
    <xf borderId="4" fillId="7" fontId="5" numFmtId="0" xfId="0" applyAlignment="1" applyBorder="1" applyFont="1">
      <alignment horizontal="left" shrinkToFit="0" vertical="center" wrapText="0"/>
    </xf>
    <xf borderId="4" fillId="7" fontId="5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horizontal="left" shrinkToFit="0" vertical="center" wrapText="0"/>
    </xf>
    <xf borderId="5" fillId="0" fontId="17" numFmtId="164" xfId="0" applyAlignment="1" applyBorder="1" applyFont="1" applyNumberFormat="1">
      <alignment horizontal="right" shrinkToFit="0" vertical="center" wrapText="0"/>
    </xf>
    <xf borderId="7" fillId="0" fontId="12" numFmtId="164" xfId="0" applyAlignment="1" applyBorder="1" applyFont="1" applyNumberFormat="1">
      <alignment horizontal="right" shrinkToFit="0" vertical="center" wrapText="0"/>
    </xf>
    <xf borderId="4" fillId="9" fontId="15" numFmtId="0" xfId="0" applyAlignment="1" applyBorder="1" applyFill="1" applyFont="1">
      <alignment horizontal="left" shrinkToFit="0" vertical="center" wrapText="0"/>
    </xf>
    <xf borderId="6" fillId="9" fontId="18" numFmtId="165" xfId="0" applyAlignment="1" applyBorder="1" applyFont="1" applyNumberFormat="1">
      <alignment horizontal="right" shrinkToFit="0" vertical="center" wrapText="0"/>
    </xf>
    <xf borderId="7" fillId="0" fontId="15" numFmtId="165" xfId="0" applyAlignment="1" applyBorder="1" applyFont="1" applyNumberFormat="1">
      <alignment horizontal="right" shrinkToFit="0" vertical="center" wrapText="0"/>
    </xf>
    <xf borderId="4" fillId="3" fontId="5" numFmtId="0" xfId="0" applyAlignment="1" applyBorder="1" applyFont="1">
      <alignment horizontal="left"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4" fillId="10" fontId="15" numFmtId="0" xfId="0" applyAlignment="1" applyBorder="1" applyFill="1" applyFont="1">
      <alignment horizontal="left" shrinkToFit="0" vertical="center" wrapText="0"/>
    </xf>
    <xf borderId="6" fillId="10" fontId="18" numFmtId="165" xfId="0" applyAlignment="1" applyBorder="1" applyFont="1" applyNumberFormat="1">
      <alignment horizontal="right" shrinkToFit="0" vertical="center" wrapText="0"/>
    </xf>
    <xf borderId="4" fillId="11" fontId="15" numFmtId="0" xfId="0" applyAlignment="1" applyBorder="1" applyFill="1" applyFont="1">
      <alignment horizontal="left" shrinkToFit="0" vertical="center" wrapText="0"/>
    </xf>
    <xf borderId="6" fillId="11" fontId="15" numFmtId="165" xfId="0" applyAlignment="1" applyBorder="1" applyFont="1" applyNumberFormat="1">
      <alignment horizontal="right" shrinkToFit="0" vertical="center" wrapText="0"/>
    </xf>
    <xf borderId="5" fillId="0" fontId="12" numFmtId="164" xfId="0" applyAlignment="1" applyBorder="1" applyFont="1" applyNumberFormat="1">
      <alignment horizontal="right" shrinkToFit="0" vertical="center" wrapText="0"/>
    </xf>
    <xf borderId="1" fillId="3" fontId="8" numFmtId="0" xfId="0" applyAlignment="1" applyBorder="1" applyFont="1">
      <alignment shrinkToFit="0" vertical="center" wrapText="0"/>
    </xf>
    <xf borderId="5" fillId="0" fontId="17" numFmtId="165" xfId="0" applyAlignment="1" applyBorder="1" applyFont="1" applyNumberFormat="1">
      <alignment horizontal="right" shrinkToFit="0" vertical="center" wrapText="0"/>
    </xf>
    <xf borderId="7" fillId="0" fontId="12" numFmtId="165" xfId="0" applyAlignment="1" applyBorder="1" applyFont="1" applyNumberFormat="1">
      <alignment horizontal="right" shrinkToFit="0" vertical="center" wrapText="0"/>
    </xf>
    <xf borderId="6" fillId="10" fontId="15" numFmtId="165" xfId="0" applyAlignment="1" applyBorder="1" applyFont="1" applyNumberFormat="1">
      <alignment horizontal="right" shrinkToFit="0" vertical="center" wrapText="0"/>
    </xf>
    <xf borderId="6" fillId="9" fontId="15" numFmtId="165" xfId="0" applyAlignment="1" applyBorder="1" applyFont="1" applyNumberFormat="1">
      <alignment horizontal="right" shrinkToFit="0" vertical="center" wrapText="0"/>
    </xf>
    <xf borderId="4" fillId="2" fontId="5" numFmtId="0" xfId="0" applyAlignment="1" applyBorder="1" applyFont="1">
      <alignment horizontal="left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8" fillId="11" fontId="15" numFmtId="165" xfId="0" applyAlignment="1" applyBorder="1" applyFont="1" applyNumberFormat="1">
      <alignment horizontal="right" shrinkToFit="0" vertical="center" wrapText="0"/>
    </xf>
    <xf borderId="5" fillId="0" fontId="12" numFmtId="165" xfId="0" applyAlignment="1" applyBorder="1" applyFont="1" applyNumberFormat="1">
      <alignment horizontal="right" shrinkToFit="0" vertical="center" wrapText="0"/>
    </xf>
    <xf borderId="8" fillId="9" fontId="15" numFmtId="165" xfId="0" applyAlignment="1" applyBorder="1" applyFont="1" applyNumberFormat="1">
      <alignment horizontal="right" shrinkToFit="0" vertical="center" wrapText="0"/>
    </xf>
    <xf borderId="5" fillId="0" fontId="12" numFmtId="166" xfId="0" applyAlignment="1" applyBorder="1" applyFont="1" applyNumberFormat="1">
      <alignment horizontal="right" shrinkToFit="0" vertical="center" wrapText="0"/>
    </xf>
    <xf borderId="0" fillId="0" fontId="12" numFmtId="0" xfId="0" applyAlignment="1" applyFont="1">
      <alignment horizontal="right" shrinkToFit="0" vertical="center" wrapText="0"/>
    </xf>
    <xf borderId="4" fillId="12" fontId="12" numFmtId="0" xfId="0" applyAlignment="1" applyBorder="1" applyFill="1" applyFont="1">
      <alignment horizontal="left" shrinkToFit="0" vertical="center" wrapText="0"/>
    </xf>
    <xf borderId="6" fillId="12" fontId="12" numFmtId="165" xfId="0" applyAlignment="1" applyBorder="1" applyFont="1" applyNumberFormat="1">
      <alignment horizontal="right" shrinkToFit="0" vertical="center" wrapText="0"/>
    </xf>
    <xf borderId="8" fillId="12" fontId="12" numFmtId="165" xfId="0" applyAlignment="1" applyBorder="1" applyFont="1" applyNumberFormat="1">
      <alignment horizontal="right" shrinkToFit="0" vertical="center" wrapText="0"/>
    </xf>
    <xf borderId="9" fillId="0" fontId="1" numFmtId="0" xfId="0" applyAlignment="1" applyBorder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4" fillId="5" fontId="15" numFmtId="0" xfId="0" applyAlignment="1" applyBorder="1" applyFont="1">
      <alignment horizontal="left" shrinkToFit="0" vertical="center" wrapText="0"/>
    </xf>
    <xf borderId="6" fillId="5" fontId="15" numFmtId="165" xfId="0" applyAlignment="1" applyBorder="1" applyFont="1" applyNumberFormat="1">
      <alignment horizontal="right" shrinkToFit="0" vertical="center" wrapText="0"/>
    </xf>
    <xf borderId="0" fillId="0" fontId="15" numFmtId="165" xfId="0" applyAlignment="1" applyFont="1" applyNumberFormat="1">
      <alignment horizontal="right" shrinkToFit="0" vertical="center" wrapText="0"/>
    </xf>
    <xf borderId="4" fillId="5" fontId="12" numFmtId="0" xfId="0" applyAlignment="1" applyBorder="1" applyFont="1">
      <alignment horizontal="left" shrinkToFit="0" vertical="center" wrapText="0"/>
    </xf>
    <xf borderId="6" fillId="5" fontId="12" numFmtId="165" xfId="0" applyAlignment="1" applyBorder="1" applyFont="1" applyNumberFormat="1">
      <alignment horizontal="right" shrinkToFit="0" vertical="center" wrapText="0"/>
    </xf>
    <xf borderId="4" fillId="13" fontId="15" numFmtId="0" xfId="0" applyAlignment="1" applyBorder="1" applyFill="1" applyFont="1">
      <alignment horizontal="left" shrinkToFit="0" vertical="center" wrapText="0"/>
    </xf>
    <xf borderId="6" fillId="13" fontId="15" numFmtId="165" xfId="0" applyAlignment="1" applyBorder="1" applyFont="1" applyNumberFormat="1">
      <alignment horizontal="right" shrinkToFit="0" vertical="center" wrapText="0"/>
    </xf>
    <xf borderId="4" fillId="13" fontId="12" numFmtId="0" xfId="0" applyAlignment="1" applyBorder="1" applyFont="1">
      <alignment horizontal="left" shrinkToFit="0" vertical="center" wrapText="0"/>
    </xf>
    <xf borderId="6" fillId="13" fontId="12" numFmtId="165" xfId="0" applyAlignment="1" applyBorder="1" applyFont="1" applyNumberFormat="1">
      <alignment horizontal="right" shrinkToFit="0" vertical="center" wrapText="0"/>
    </xf>
    <xf borderId="4" fillId="10" fontId="12" numFmtId="0" xfId="0" applyAlignment="1" applyBorder="1" applyFont="1">
      <alignment horizontal="left" shrinkToFit="0" vertical="center" wrapText="0"/>
    </xf>
    <xf borderId="6" fillId="10" fontId="12" numFmtId="165" xfId="0" applyAlignment="1" applyBorder="1" applyFont="1" applyNumberFormat="1">
      <alignment horizontal="right" shrinkToFit="0" vertical="center" wrapText="0"/>
    </xf>
    <xf borderId="4" fillId="14" fontId="15" numFmtId="0" xfId="0" applyAlignment="1" applyBorder="1" applyFill="1" applyFont="1">
      <alignment horizontal="left" shrinkToFit="0" vertical="center" wrapText="0"/>
    </xf>
    <xf borderId="6" fillId="14" fontId="15" numFmtId="165" xfId="0" applyAlignment="1" applyBorder="1" applyFont="1" applyNumberFormat="1">
      <alignment horizontal="right" shrinkToFit="0" vertical="center" wrapText="0"/>
    </xf>
    <xf borderId="4" fillId="14" fontId="12" numFmtId="0" xfId="0" applyAlignment="1" applyBorder="1" applyFont="1">
      <alignment horizontal="left" shrinkToFit="0" vertical="center" wrapText="0"/>
    </xf>
    <xf borderId="6" fillId="14" fontId="12" numFmtId="165" xfId="0" applyAlignment="1" applyBorder="1" applyFont="1" applyNumberFormat="1">
      <alignment horizontal="right" shrinkToFit="0" vertical="center" wrapText="0"/>
    </xf>
    <xf borderId="0" fillId="0" fontId="20" numFmtId="49" xfId="0" applyAlignment="1" applyFont="1" applyNumberFormat="1">
      <alignment horizontal="center" shrinkToFit="0" vertical="center" wrapText="0"/>
    </xf>
    <xf borderId="1" fillId="8" fontId="8" numFmtId="0" xfId="0" applyAlignment="1" applyBorder="1" applyFont="1">
      <alignment shrinkToFit="0" vertical="center" wrapText="0"/>
    </xf>
    <xf borderId="5" fillId="0" fontId="15" numFmtId="0" xfId="0" applyAlignment="1" applyBorder="1" applyFont="1">
      <alignment horizontal="left" shrinkToFit="0" vertical="center" wrapText="0"/>
    </xf>
    <xf borderId="5" fillId="0" fontId="21" numFmtId="165" xfId="0" applyAlignment="1" applyBorder="1" applyFont="1" applyNumberFormat="1">
      <alignment horizontal="right" shrinkToFit="0" vertical="center" wrapText="0"/>
    </xf>
    <xf borderId="5" fillId="0" fontId="22" numFmtId="166" xfId="0" applyAlignment="1" applyBorder="1" applyFont="1" applyNumberFormat="1">
      <alignment horizontal="right" shrinkToFit="0" vertical="center" wrapText="0"/>
    </xf>
    <xf borderId="5" fillId="0" fontId="23" numFmtId="165" xfId="0" applyAlignment="1" applyBorder="1" applyFont="1" applyNumberFormat="1">
      <alignment horizontal="right" shrinkToFit="0" vertical="center" wrapText="0"/>
    </xf>
    <xf borderId="5" fillId="0" fontId="24" numFmtId="165" xfId="0" applyAlignment="1" applyBorder="1" applyFont="1" applyNumberFormat="1">
      <alignment horizontal="right" shrinkToFit="0" vertical="center" wrapText="0"/>
    </xf>
    <xf borderId="5" fillId="0" fontId="23" numFmtId="49" xfId="0" applyAlignment="1" applyBorder="1" applyFont="1" applyNumberFormat="1">
      <alignment horizontal="right" shrinkToFit="0" vertical="center" wrapText="0"/>
    </xf>
    <xf borderId="5" fillId="0" fontId="22" numFmtId="165" xfId="0" applyAlignment="1" applyBorder="1" applyFont="1" applyNumberFormat="1">
      <alignment horizontal="right" shrinkToFit="0" vertical="center" wrapText="0"/>
    </xf>
    <xf borderId="5" fillId="0" fontId="22" numFmtId="167" xfId="0" applyAlignment="1" applyBorder="1" applyFont="1" applyNumberFormat="1">
      <alignment horizontal="right" shrinkToFit="0" vertical="center" wrapText="0"/>
    </xf>
    <xf borderId="5" fillId="0" fontId="21" numFmtId="166" xfId="0" applyAlignment="1" applyBorder="1" applyFont="1" applyNumberFormat="1">
      <alignment horizontal="right" shrinkToFit="0" vertical="center" wrapText="0"/>
    </xf>
    <xf borderId="5" fillId="0" fontId="22" numFmtId="49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3" width="60.0"/>
    <col customWidth="1" min="4" max="26" width="8.71"/>
  </cols>
  <sheetData>
    <row r="1">
      <c r="A1" s="1"/>
      <c r="B1" s="1"/>
      <c r="C1" s="1"/>
    </row>
    <row r="2" ht="31.5" customHeight="1">
      <c r="A2" s="1"/>
      <c r="B2" s="2" t="s">
        <v>0</v>
      </c>
      <c r="C2" s="3"/>
      <c r="D2" s="3"/>
      <c r="E2" s="3"/>
      <c r="F2" s="4"/>
    </row>
    <row r="3" ht="18.0" customHeight="1">
      <c r="A3" s="1"/>
      <c r="B3" s="5" t="s">
        <v>1</v>
      </c>
    </row>
    <row r="4">
      <c r="A4" s="1"/>
      <c r="B4" s="1"/>
      <c r="C4" s="1"/>
    </row>
    <row r="5" ht="21.75" customHeight="1">
      <c r="A5" s="1"/>
      <c r="B5" s="6" t="s">
        <v>2</v>
      </c>
      <c r="C5" s="3"/>
      <c r="D5" s="3"/>
      <c r="E5" s="3"/>
      <c r="F5" s="4"/>
    </row>
    <row r="6" ht="21.75" customHeight="1">
      <c r="A6" s="7"/>
      <c r="B6" s="8" t="s">
        <v>3</v>
      </c>
      <c r="C6" s="9" t="s">
        <v>4</v>
      </c>
      <c r="D6" s="7"/>
      <c r="E6" s="7"/>
      <c r="F6" s="7"/>
      <c r="G6" s="7"/>
    </row>
    <row r="7" ht="21.75" customHeight="1">
      <c r="A7" s="1"/>
      <c r="B7" s="10" t="s">
        <v>5</v>
      </c>
      <c r="C7" s="11" t="s">
        <v>6</v>
      </c>
    </row>
    <row r="8" ht="21.75" customHeight="1">
      <c r="A8" s="12"/>
      <c r="B8" s="13" t="s">
        <v>7</v>
      </c>
      <c r="C8" s="14" t="s">
        <v>8</v>
      </c>
      <c r="D8" s="12"/>
      <c r="E8" s="12"/>
      <c r="F8" s="12"/>
      <c r="G8" s="12"/>
    </row>
    <row r="9" ht="21.75" customHeight="1">
      <c r="A9" s="15"/>
      <c r="B9" s="16" t="s">
        <v>9</v>
      </c>
      <c r="C9" s="17" t="s">
        <v>10</v>
      </c>
      <c r="D9" s="15"/>
      <c r="E9" s="15"/>
      <c r="F9" s="15"/>
      <c r="G9" s="15"/>
    </row>
    <row r="10">
      <c r="A10" s="1"/>
      <c r="B10" s="1"/>
      <c r="C10" s="1"/>
    </row>
    <row r="11" ht="21.75" customHeight="1">
      <c r="A11" s="1"/>
      <c r="B11" s="18" t="s">
        <v>11</v>
      </c>
      <c r="C11" s="3"/>
      <c r="D11" s="3"/>
      <c r="E11" s="3"/>
      <c r="F11" s="4"/>
    </row>
    <row r="12" ht="21.75" customHeight="1">
      <c r="A12" s="1"/>
      <c r="B12" s="10" t="s">
        <v>12</v>
      </c>
      <c r="C12" s="11" t="s">
        <v>13</v>
      </c>
    </row>
    <row r="13" ht="21.75" customHeight="1">
      <c r="A13" s="1"/>
      <c r="B13" s="10" t="s">
        <v>14</v>
      </c>
      <c r="C13" s="11" t="s">
        <v>15</v>
      </c>
    </row>
    <row r="14" ht="21.75" customHeight="1">
      <c r="A14" s="1"/>
      <c r="B14" s="10" t="s">
        <v>16</v>
      </c>
      <c r="C14" s="11" t="s">
        <v>17</v>
      </c>
    </row>
    <row r="15" ht="21.75" customHeight="1">
      <c r="A15" s="1"/>
      <c r="B15" s="10" t="s">
        <v>18</v>
      </c>
      <c r="C15" s="11" t="s">
        <v>19</v>
      </c>
    </row>
    <row r="16" ht="21.75" customHeight="1">
      <c r="A16" s="1"/>
      <c r="B16" s="10" t="s">
        <v>20</v>
      </c>
      <c r="C16" s="11" t="s">
        <v>21</v>
      </c>
    </row>
    <row r="17" ht="21.75" customHeight="1">
      <c r="A17" s="1"/>
      <c r="B17" s="10" t="s">
        <v>22</v>
      </c>
      <c r="C17" s="11" t="s">
        <v>23</v>
      </c>
    </row>
    <row r="18" ht="21.75" customHeight="1">
      <c r="A18" s="1"/>
      <c r="B18" s="10" t="s">
        <v>24</v>
      </c>
      <c r="C18" s="11" t="s">
        <v>25</v>
      </c>
    </row>
    <row r="19">
      <c r="A19" s="1"/>
      <c r="B19" s="1"/>
      <c r="C19" s="1"/>
    </row>
    <row r="20" ht="21.75" customHeight="1">
      <c r="A20" s="1"/>
      <c r="B20" s="19" t="s">
        <v>26</v>
      </c>
      <c r="C20" s="3"/>
      <c r="D20" s="3"/>
      <c r="E20" s="3"/>
      <c r="F20" s="4"/>
    </row>
    <row r="21" ht="21.75" customHeight="1">
      <c r="A21" s="1"/>
      <c r="B21" s="10" t="s">
        <v>27</v>
      </c>
      <c r="C21" s="11" t="s">
        <v>28</v>
      </c>
    </row>
    <row r="22" ht="21.75" customHeight="1">
      <c r="A22" s="1"/>
      <c r="B22" s="10" t="s">
        <v>29</v>
      </c>
      <c r="C22" s="11" t="s">
        <v>30</v>
      </c>
    </row>
    <row r="23" ht="21.75" customHeight="1">
      <c r="A23" s="1"/>
      <c r="B23" s="10" t="s">
        <v>31</v>
      </c>
      <c r="C23" s="11" t="s">
        <v>32</v>
      </c>
    </row>
    <row r="24" ht="21.75" customHeight="1">
      <c r="A24" s="1"/>
      <c r="B24" s="10" t="s">
        <v>33</v>
      </c>
      <c r="C24" s="11" t="s">
        <v>34</v>
      </c>
    </row>
    <row r="25" ht="21.75" customHeight="1">
      <c r="A25" s="1"/>
      <c r="B25" s="10" t="s">
        <v>35</v>
      </c>
      <c r="C25" s="11" t="s">
        <v>36</v>
      </c>
    </row>
    <row r="26" ht="15.75" customHeight="1">
      <c r="A26" s="1"/>
      <c r="B26" s="1"/>
      <c r="C26" s="1"/>
    </row>
    <row r="27" ht="15.75" customHeight="1">
      <c r="A27" s="1"/>
      <c r="B27" s="1"/>
      <c r="C27" s="1"/>
    </row>
    <row r="28" ht="15.75" customHeight="1">
      <c r="A28" s="1"/>
      <c r="B28" s="1"/>
      <c r="C28" s="1"/>
    </row>
    <row r="29" ht="15.75" customHeight="1">
      <c r="A29" s="1"/>
      <c r="B29" s="1"/>
      <c r="C29" s="1"/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mergeCells count="5">
    <mergeCell ref="B2:F2"/>
    <mergeCell ref="B3:F3"/>
    <mergeCell ref="B5:F5"/>
    <mergeCell ref="B11:F11"/>
    <mergeCell ref="B20:F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4" width="18.0"/>
    <col customWidth="1" min="5" max="5" width="28.0"/>
    <col customWidth="1" min="6" max="26" width="8.71"/>
  </cols>
  <sheetData>
    <row r="1">
      <c r="A1" s="1"/>
      <c r="B1" s="1"/>
      <c r="C1" s="1"/>
      <c r="D1" s="1"/>
      <c r="E1" s="1"/>
    </row>
    <row r="2" ht="27.75" customHeight="1">
      <c r="A2" s="1"/>
      <c r="B2" s="20" t="s">
        <v>37</v>
      </c>
      <c r="C2" s="3"/>
      <c r="D2" s="3"/>
      <c r="E2" s="4"/>
    </row>
    <row r="3" ht="15.75" customHeight="1">
      <c r="A3" s="1"/>
      <c r="B3" s="1"/>
      <c r="C3" s="21" t="s">
        <v>38</v>
      </c>
      <c r="D3" s="22" t="s">
        <v>39</v>
      </c>
      <c r="E3" s="1"/>
    </row>
    <row r="4">
      <c r="A4" s="1"/>
      <c r="B4" s="1"/>
      <c r="C4" s="1"/>
      <c r="D4" s="1"/>
      <c r="E4" s="1"/>
    </row>
    <row r="5" ht="19.5" customHeight="1">
      <c r="A5" s="1"/>
      <c r="B5" s="23" t="s">
        <v>40</v>
      </c>
      <c r="C5" s="3"/>
      <c r="D5" s="3"/>
      <c r="E5" s="4"/>
    </row>
    <row r="6" ht="18.0" customHeight="1">
      <c r="A6" s="1"/>
      <c r="B6" s="24" t="s">
        <v>41</v>
      </c>
      <c r="C6" s="25" t="s">
        <v>42</v>
      </c>
      <c r="D6" s="26"/>
      <c r="E6" s="27"/>
    </row>
    <row r="7" ht="18.0" customHeight="1">
      <c r="A7" s="1"/>
      <c r="B7" s="24" t="s">
        <v>43</v>
      </c>
      <c r="C7" s="25">
        <v>2025.0</v>
      </c>
      <c r="D7" s="26" t="s">
        <v>44</v>
      </c>
      <c r="E7" s="27"/>
    </row>
    <row r="8" ht="18.0" customHeight="1">
      <c r="A8" s="1"/>
      <c r="B8" s="24" t="s">
        <v>45</v>
      </c>
      <c r="C8" s="25">
        <v>1.0</v>
      </c>
      <c r="D8" s="26" t="s">
        <v>46</v>
      </c>
      <c r="E8" s="27" t="s">
        <v>47</v>
      </c>
    </row>
    <row r="9" ht="18.0" customHeight="1">
      <c r="A9" s="1"/>
      <c r="B9" s="24" t="s">
        <v>48</v>
      </c>
      <c r="C9" s="25">
        <v>2025.0</v>
      </c>
      <c r="D9" s="26" t="s">
        <v>44</v>
      </c>
      <c r="E9" s="27"/>
    </row>
    <row r="10">
      <c r="A10" s="1"/>
      <c r="B10" s="1"/>
      <c r="C10" s="1"/>
      <c r="D10" s="1"/>
      <c r="E10" s="1"/>
    </row>
    <row r="11" ht="19.5" customHeight="1">
      <c r="A11" s="1"/>
      <c r="B11" s="28" t="s">
        <v>49</v>
      </c>
      <c r="C11" s="3"/>
      <c r="D11" s="3"/>
      <c r="E11" s="4"/>
    </row>
    <row r="12" ht="15.0" customHeight="1">
      <c r="A12" s="1"/>
      <c r="B12" s="29" t="s">
        <v>50</v>
      </c>
      <c r="C12" s="1"/>
      <c r="D12" s="1"/>
      <c r="E12" s="1"/>
    </row>
    <row r="13" ht="18.0" customHeight="1">
      <c r="A13" s="1"/>
      <c r="B13" s="24" t="s">
        <v>51</v>
      </c>
      <c r="C13" s="30">
        <v>5000.0</v>
      </c>
      <c r="D13" s="26" t="s">
        <v>52</v>
      </c>
      <c r="E13" s="27" t="s">
        <v>53</v>
      </c>
    </row>
    <row r="14" ht="18.0" customHeight="1">
      <c r="A14" s="1"/>
      <c r="B14" s="24" t="s">
        <v>54</v>
      </c>
      <c r="C14" s="31">
        <v>300.0</v>
      </c>
      <c r="D14" s="26" t="s">
        <v>55</v>
      </c>
      <c r="E14" s="27" t="s">
        <v>56</v>
      </c>
    </row>
    <row r="15" ht="18.0" customHeight="1">
      <c r="A15" s="1"/>
      <c r="B15" s="24" t="s">
        <v>57</v>
      </c>
      <c r="C15" s="32">
        <v>0.05</v>
      </c>
      <c r="D15" s="26" t="s">
        <v>58</v>
      </c>
      <c r="E15" s="27" t="s">
        <v>59</v>
      </c>
    </row>
    <row r="16" ht="18.0" customHeight="1">
      <c r="A16" s="1"/>
      <c r="B16" s="24" t="s">
        <v>60</v>
      </c>
      <c r="C16" s="33">
        <v>1.0</v>
      </c>
      <c r="D16" s="26" t="s">
        <v>46</v>
      </c>
      <c r="E16" s="27" t="s">
        <v>61</v>
      </c>
    </row>
    <row r="17">
      <c r="A17" s="1"/>
      <c r="B17" s="1"/>
      <c r="C17" s="1"/>
      <c r="D17" s="1"/>
      <c r="E17" s="1"/>
    </row>
    <row r="18" ht="15.0" customHeight="1">
      <c r="A18" s="1"/>
      <c r="B18" s="29" t="s">
        <v>62</v>
      </c>
      <c r="C18" s="1"/>
      <c r="D18" s="1"/>
      <c r="E18" s="1"/>
    </row>
    <row r="19" ht="18.0" customHeight="1">
      <c r="A19" s="1"/>
      <c r="B19" s="24" t="s">
        <v>51</v>
      </c>
      <c r="C19" s="34">
        <v>0.0</v>
      </c>
      <c r="D19" s="26" t="s">
        <v>52</v>
      </c>
      <c r="E19" s="27" t="s">
        <v>63</v>
      </c>
    </row>
    <row r="20" ht="18.0" customHeight="1">
      <c r="A20" s="1"/>
      <c r="B20" s="24" t="s">
        <v>54</v>
      </c>
      <c r="C20" s="25">
        <v>0.0</v>
      </c>
      <c r="D20" s="26" t="s">
        <v>55</v>
      </c>
      <c r="E20" s="27"/>
    </row>
    <row r="21" ht="18.0" customHeight="1">
      <c r="A21" s="1"/>
      <c r="B21" s="24" t="s">
        <v>57</v>
      </c>
      <c r="C21" s="35">
        <v>0.03</v>
      </c>
      <c r="D21" s="26" t="s">
        <v>58</v>
      </c>
      <c r="E21" s="27"/>
    </row>
    <row r="22" ht="18.0" customHeight="1">
      <c r="A22" s="1"/>
      <c r="B22" s="24" t="s">
        <v>60</v>
      </c>
      <c r="C22" s="25">
        <v>0.0</v>
      </c>
      <c r="D22" s="26" t="s">
        <v>46</v>
      </c>
      <c r="E22" s="27"/>
    </row>
    <row r="23" ht="15.75" customHeight="1">
      <c r="A23" s="1"/>
      <c r="B23" s="1"/>
      <c r="C23" s="1"/>
      <c r="D23" s="1"/>
      <c r="E23" s="1"/>
    </row>
    <row r="24" ht="19.5" customHeight="1">
      <c r="A24" s="1"/>
      <c r="B24" s="36" t="s">
        <v>64</v>
      </c>
      <c r="C24" s="3"/>
      <c r="D24" s="3"/>
      <c r="E24" s="4"/>
    </row>
    <row r="25" ht="18.0" customHeight="1">
      <c r="A25" s="1"/>
      <c r="B25" s="24" t="s">
        <v>65</v>
      </c>
      <c r="C25" s="30">
        <v>50000.0</v>
      </c>
      <c r="D25" s="26" t="s">
        <v>52</v>
      </c>
      <c r="E25" s="27"/>
    </row>
    <row r="26" ht="18.0" customHeight="1">
      <c r="A26" s="1"/>
      <c r="B26" s="24" t="s">
        <v>66</v>
      </c>
      <c r="C26" s="30">
        <v>200000.0</v>
      </c>
      <c r="D26" s="26" t="s">
        <v>52</v>
      </c>
      <c r="E26" s="27" t="s">
        <v>67</v>
      </c>
    </row>
    <row r="27" ht="18.0" customHeight="1">
      <c r="A27" s="1"/>
      <c r="B27" s="24" t="s">
        <v>68</v>
      </c>
      <c r="C27" s="34">
        <v>30000.0</v>
      </c>
      <c r="D27" s="26" t="s">
        <v>52</v>
      </c>
      <c r="E27" s="27"/>
    </row>
    <row r="28" ht="18.0" customHeight="1">
      <c r="A28" s="1"/>
      <c r="B28" s="24" t="s">
        <v>69</v>
      </c>
      <c r="C28" s="34">
        <v>10000.0</v>
      </c>
      <c r="D28" s="26" t="s">
        <v>52</v>
      </c>
      <c r="E28" s="27"/>
    </row>
    <row r="29" ht="18.0" customHeight="1">
      <c r="A29" s="1"/>
      <c r="B29" s="24" t="s">
        <v>70</v>
      </c>
      <c r="C29" s="34">
        <v>20000.0</v>
      </c>
      <c r="D29" s="26" t="s">
        <v>52</v>
      </c>
      <c r="E29" s="27"/>
    </row>
    <row r="30" ht="18.0" customHeight="1">
      <c r="A30" s="1"/>
      <c r="B30" s="24" t="s">
        <v>71</v>
      </c>
      <c r="C30" s="35">
        <v>0.02</v>
      </c>
      <c r="D30" s="26" t="s">
        <v>58</v>
      </c>
      <c r="E30" s="27" t="s">
        <v>72</v>
      </c>
    </row>
    <row r="31" ht="15.75" customHeight="1">
      <c r="A31" s="1"/>
      <c r="B31" s="1"/>
      <c r="C31" s="1"/>
      <c r="D31" s="1"/>
      <c r="E31" s="1"/>
    </row>
    <row r="32" ht="19.5" customHeight="1">
      <c r="A32" s="1"/>
      <c r="B32" s="36" t="s">
        <v>73</v>
      </c>
      <c r="C32" s="3"/>
      <c r="D32" s="3"/>
      <c r="E32" s="4"/>
    </row>
    <row r="33" ht="18.0" customHeight="1">
      <c r="A33" s="1"/>
      <c r="B33" s="24" t="s">
        <v>74</v>
      </c>
      <c r="C33" s="32">
        <v>0.3</v>
      </c>
      <c r="D33" s="26" t="s">
        <v>58</v>
      </c>
      <c r="E33" s="27" t="s">
        <v>75</v>
      </c>
    </row>
    <row r="34" ht="18.0" customHeight="1">
      <c r="A34" s="1"/>
      <c r="B34" s="24" t="s">
        <v>76</v>
      </c>
      <c r="C34" s="35">
        <v>0.02</v>
      </c>
      <c r="D34" s="26" t="s">
        <v>58</v>
      </c>
      <c r="E34" s="27" t="s">
        <v>77</v>
      </c>
    </row>
    <row r="35" ht="18.0" customHeight="1">
      <c r="A35" s="1"/>
      <c r="B35" s="24" t="s">
        <v>78</v>
      </c>
      <c r="C35" s="35">
        <v>0.05</v>
      </c>
      <c r="D35" s="26" t="s">
        <v>58</v>
      </c>
      <c r="E35" s="27" t="s">
        <v>79</v>
      </c>
    </row>
    <row r="36" ht="18.0" customHeight="1">
      <c r="A36" s="1"/>
      <c r="B36" s="24" t="s">
        <v>80</v>
      </c>
      <c r="C36" s="35">
        <v>0.03</v>
      </c>
      <c r="D36" s="26" t="s">
        <v>58</v>
      </c>
      <c r="E36" s="27"/>
    </row>
    <row r="37" ht="15.75" customHeight="1">
      <c r="A37" s="1"/>
      <c r="B37" s="1"/>
      <c r="C37" s="1"/>
      <c r="D37" s="1"/>
      <c r="E37" s="1"/>
    </row>
    <row r="38" ht="19.5" customHeight="1">
      <c r="A38" s="1"/>
      <c r="B38" s="37" t="s">
        <v>81</v>
      </c>
      <c r="C38" s="3"/>
      <c r="D38" s="3"/>
      <c r="E38" s="4"/>
    </row>
    <row r="39" ht="18.0" customHeight="1">
      <c r="A39" s="1"/>
      <c r="B39" s="24" t="s">
        <v>82</v>
      </c>
      <c r="C39" s="25" t="s">
        <v>83</v>
      </c>
      <c r="D39" s="26"/>
      <c r="E39" s="27" t="s">
        <v>84</v>
      </c>
    </row>
    <row r="40" ht="18.0" customHeight="1">
      <c r="A40" s="1"/>
      <c r="B40" s="24" t="s">
        <v>85</v>
      </c>
      <c r="C40" s="32">
        <v>0.06</v>
      </c>
      <c r="D40" s="26" t="s">
        <v>58</v>
      </c>
      <c r="E40" s="27" t="s">
        <v>86</v>
      </c>
    </row>
    <row r="41" ht="18.0" customHeight="1">
      <c r="A41" s="1"/>
      <c r="B41" s="24" t="s">
        <v>87</v>
      </c>
      <c r="C41" s="35">
        <v>0.15</v>
      </c>
      <c r="D41" s="26" t="s">
        <v>58</v>
      </c>
      <c r="E41" s="27" t="s">
        <v>88</v>
      </c>
    </row>
    <row r="42" ht="18.0" customHeight="1">
      <c r="A42" s="1"/>
      <c r="B42" s="24" t="s">
        <v>89</v>
      </c>
      <c r="C42" s="25" t="s">
        <v>90</v>
      </c>
      <c r="D42" s="26"/>
      <c r="E42" s="27" t="s">
        <v>91</v>
      </c>
    </row>
    <row r="43" ht="15.75" customHeight="1">
      <c r="A43" s="1"/>
      <c r="B43" s="1"/>
      <c r="C43" s="1"/>
      <c r="D43" s="1"/>
      <c r="E43" s="1"/>
    </row>
    <row r="44" ht="19.5" customHeight="1">
      <c r="A44" s="1"/>
      <c r="B44" s="37" t="s">
        <v>92</v>
      </c>
      <c r="C44" s="3"/>
      <c r="D44" s="3"/>
      <c r="E44" s="4"/>
    </row>
    <row r="45" ht="18.0" customHeight="1">
      <c r="A45" s="1"/>
      <c r="B45" s="24" t="s">
        <v>93</v>
      </c>
      <c r="C45" s="30">
        <v>500000.0</v>
      </c>
      <c r="D45" s="26" t="s">
        <v>52</v>
      </c>
      <c r="E45" s="27" t="s">
        <v>94</v>
      </c>
    </row>
    <row r="46" ht="18.0" customHeight="1">
      <c r="A46" s="1"/>
      <c r="B46" s="24" t="s">
        <v>95</v>
      </c>
      <c r="C46" s="34">
        <v>100000.0</v>
      </c>
      <c r="D46" s="26" t="s">
        <v>52</v>
      </c>
      <c r="E46" s="27" t="s">
        <v>96</v>
      </c>
    </row>
    <row r="47" ht="18.0" customHeight="1">
      <c r="A47" s="1"/>
      <c r="B47" s="24" t="s">
        <v>97</v>
      </c>
      <c r="C47" s="34">
        <v>50000.0</v>
      </c>
      <c r="D47" s="26" t="s">
        <v>52</v>
      </c>
      <c r="E47" s="27" t="s">
        <v>98</v>
      </c>
    </row>
    <row r="48" ht="15.75" customHeight="1">
      <c r="A48" s="1"/>
      <c r="B48" s="1"/>
      <c r="C48" s="1"/>
      <c r="D48" s="1"/>
      <c r="E48" s="1"/>
    </row>
    <row r="49" ht="19.5" customHeight="1">
      <c r="A49" s="1"/>
      <c r="B49" s="28" t="s">
        <v>99</v>
      </c>
      <c r="C49" s="3"/>
      <c r="D49" s="3"/>
      <c r="E49" s="4"/>
    </row>
    <row r="50" ht="18.0" customHeight="1">
      <c r="A50" s="1"/>
      <c r="B50" s="24" t="s">
        <v>100</v>
      </c>
      <c r="C50" s="30">
        <v>1500.0</v>
      </c>
      <c r="D50" s="26" t="s">
        <v>52</v>
      </c>
      <c r="E50" s="27" t="s">
        <v>101</v>
      </c>
    </row>
    <row r="51" ht="18.0" customHeight="1">
      <c r="A51" s="1"/>
      <c r="B51" s="24" t="s">
        <v>102</v>
      </c>
      <c r="C51" s="25">
        <v>4.0</v>
      </c>
      <c r="D51" s="26" t="s">
        <v>103</v>
      </c>
      <c r="E51" s="27" t="s">
        <v>104</v>
      </c>
    </row>
    <row r="52" ht="18.0" customHeight="1">
      <c r="A52" s="1"/>
      <c r="B52" s="24" t="s">
        <v>105</v>
      </c>
      <c r="C52" s="25">
        <v>2.0</v>
      </c>
      <c r="D52" s="26" t="s">
        <v>106</v>
      </c>
      <c r="E52" s="27" t="s">
        <v>107</v>
      </c>
    </row>
    <row r="53" ht="18.0" customHeight="1">
      <c r="A53" s="1"/>
      <c r="B53" s="24" t="s">
        <v>108</v>
      </c>
      <c r="C53" s="35">
        <v>0.4</v>
      </c>
      <c r="D53" s="26" t="s">
        <v>58</v>
      </c>
      <c r="E53" s="27"/>
    </row>
    <row r="54" ht="15.75" customHeight="1">
      <c r="A54" s="1"/>
      <c r="B54" s="1"/>
      <c r="C54" s="1"/>
      <c r="D54" s="1"/>
      <c r="E54" s="1"/>
    </row>
    <row r="55" ht="15.0" customHeight="1">
      <c r="A55" s="1"/>
      <c r="B55" s="38" t="s">
        <v>109</v>
      </c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mergeCells count="9">
    <mergeCell ref="B49:E49"/>
    <mergeCell ref="B55:E55"/>
    <mergeCell ref="B2:E2"/>
    <mergeCell ref="B5:E5"/>
    <mergeCell ref="B11:E11"/>
    <mergeCell ref="B24:E24"/>
    <mergeCell ref="B32:E32"/>
    <mergeCell ref="B38:E38"/>
    <mergeCell ref="B44:E4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.0"/>
    <col customWidth="1" min="2" max="2" width="34.0"/>
    <col customWidth="1" min="3" max="14" width="12.0"/>
    <col customWidth="1" min="15" max="15" width="14.0"/>
    <col customWidth="1" min="16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7.75" customHeight="1">
      <c r="A2" s="1"/>
      <c r="B2" s="39" t="s">
        <v>110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ht="15.0" customHeight="1">
      <c r="A3" s="1"/>
      <c r="B3" s="22" t="s">
        <v>111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19.5" customHeight="1">
      <c r="A5" s="1"/>
      <c r="B5" s="28" t="s">
        <v>112</v>
      </c>
      <c r="C5" s="3"/>
      <c r="D5" s="3"/>
      <c r="E5" s="4"/>
      <c r="F5" s="1"/>
      <c r="G5" s="1"/>
      <c r="H5" s="1"/>
      <c r="I5" s="1"/>
      <c r="J5" s="1"/>
      <c r="K5" s="1"/>
      <c r="L5" s="1"/>
      <c r="M5" s="1"/>
      <c r="N5" s="1"/>
      <c r="O5" s="1"/>
    </row>
    <row r="6" ht="21.75" customHeight="1">
      <c r="A6" s="1"/>
      <c r="B6" s="40" t="s">
        <v>113</v>
      </c>
      <c r="C6" s="41" t="s">
        <v>114</v>
      </c>
      <c r="D6" s="41" t="s">
        <v>115</v>
      </c>
      <c r="E6" s="41" t="s">
        <v>116</v>
      </c>
      <c r="F6" s="41" t="s">
        <v>117</v>
      </c>
      <c r="G6" s="41" t="s">
        <v>118</v>
      </c>
      <c r="H6" s="41" t="s">
        <v>119</v>
      </c>
      <c r="I6" s="41" t="s">
        <v>120</v>
      </c>
      <c r="J6" s="41" t="s">
        <v>121</v>
      </c>
      <c r="K6" s="41" t="s">
        <v>122</v>
      </c>
      <c r="L6" s="41" t="s">
        <v>123</v>
      </c>
      <c r="M6" s="41" t="s">
        <v>124</v>
      </c>
      <c r="N6" s="41" t="s">
        <v>125</v>
      </c>
      <c r="O6" s="41" t="s">
        <v>126</v>
      </c>
    </row>
    <row r="7" ht="16.5" customHeight="1">
      <c r="A7" s="1"/>
      <c r="B7" s="42" t="s">
        <v>127</v>
      </c>
      <c r="C7" s="43">
        <f>'⚙️ Допущения'!C14</f>
        <v>300</v>
      </c>
      <c r="D7" s="43">
        <f>ROUND(C7*(1+'⚙️ Допущения'!C15),0)</f>
        <v>315</v>
      </c>
      <c r="E7" s="43">
        <f>ROUND(D7*(1+'⚙️ Допущения'!C15),0)</f>
        <v>331</v>
      </c>
      <c r="F7" s="43">
        <f>ROUND(E7*(1+'⚙️ Допущения'!C15),0)</f>
        <v>348</v>
      </c>
      <c r="G7" s="43">
        <f>ROUND(F7*(1+'⚙️ Допущения'!C15),0)</f>
        <v>365</v>
      </c>
      <c r="H7" s="43">
        <f>ROUND(G7*(1+'⚙️ Допущения'!C15),0)</f>
        <v>383</v>
      </c>
      <c r="I7" s="43">
        <f>ROUND(H7*(1+'⚙️ Допущения'!C15),0)</f>
        <v>402</v>
      </c>
      <c r="J7" s="43">
        <f>ROUND(I7*(1+'⚙️ Допущения'!C15),0)</f>
        <v>422</v>
      </c>
      <c r="K7" s="43">
        <f>ROUND(J7*(1+'⚙️ Допущения'!C15),0)</f>
        <v>443</v>
      </c>
      <c r="L7" s="43">
        <f>ROUND(K7*(1+'⚙️ Допущения'!C15),0)</f>
        <v>465</v>
      </c>
      <c r="M7" s="43">
        <f>ROUND(L7*(1+'⚙️ Допущения'!C15),0)</f>
        <v>488</v>
      </c>
      <c r="N7" s="43">
        <f>ROUND(M7*(1+'⚙️ Допущения'!C15),0)</f>
        <v>512</v>
      </c>
      <c r="O7" s="44">
        <f t="shared" ref="O7:O8" si="1">SUM(C7:N7)</f>
        <v>4774</v>
      </c>
    </row>
    <row r="8" ht="16.5" customHeight="1">
      <c r="A8" s="1"/>
      <c r="B8" s="45" t="s">
        <v>128</v>
      </c>
      <c r="C8" s="46">
        <f>C7*'⚙️ Допущения'!C13</f>
        <v>1500000</v>
      </c>
      <c r="D8" s="46">
        <f>D7*'⚙️ Допущения'!C13</f>
        <v>1575000</v>
      </c>
      <c r="E8" s="46">
        <f>E7*'⚙️ Допущения'!C13</f>
        <v>1655000</v>
      </c>
      <c r="F8" s="46">
        <f>F7*'⚙️ Допущения'!C13</f>
        <v>1740000</v>
      </c>
      <c r="G8" s="46">
        <f>G7*'⚙️ Допущения'!C13</f>
        <v>1825000</v>
      </c>
      <c r="H8" s="46">
        <f>H7*'⚙️ Допущения'!C13</f>
        <v>1915000</v>
      </c>
      <c r="I8" s="46">
        <f>I7*'⚙️ Допущения'!C13</f>
        <v>2010000</v>
      </c>
      <c r="J8" s="46">
        <f>J7*'⚙️ Допущения'!C13</f>
        <v>2110000</v>
      </c>
      <c r="K8" s="46">
        <f>K7*'⚙️ Допущения'!C13</f>
        <v>2215000</v>
      </c>
      <c r="L8" s="46">
        <f>L7*'⚙️ Допущения'!C13</f>
        <v>2325000</v>
      </c>
      <c r="M8" s="46">
        <f>M7*'⚙️ Допущения'!C13</f>
        <v>2440000</v>
      </c>
      <c r="N8" s="46">
        <f>N7*'⚙️ Допущения'!C13</f>
        <v>2560000</v>
      </c>
      <c r="O8" s="47">
        <f t="shared" si="1"/>
        <v>23870000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ht="3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ht="19.5" customHeight="1">
      <c r="A11" s="1"/>
      <c r="B11" s="36" t="s">
        <v>129</v>
      </c>
      <c r="C11" s="3"/>
      <c r="D11" s="3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ht="21.75" customHeight="1">
      <c r="A12" s="1"/>
      <c r="B12" s="48" t="s">
        <v>113</v>
      </c>
      <c r="C12" s="49" t="s">
        <v>114</v>
      </c>
      <c r="D12" s="49" t="s">
        <v>115</v>
      </c>
      <c r="E12" s="49" t="s">
        <v>116</v>
      </c>
      <c r="F12" s="49" t="s">
        <v>117</v>
      </c>
      <c r="G12" s="49" t="s">
        <v>118</v>
      </c>
      <c r="H12" s="49" t="s">
        <v>119</v>
      </c>
      <c r="I12" s="49" t="s">
        <v>120</v>
      </c>
      <c r="J12" s="49" t="s">
        <v>121</v>
      </c>
      <c r="K12" s="49" t="s">
        <v>122</v>
      </c>
      <c r="L12" s="49" t="s">
        <v>123</v>
      </c>
      <c r="M12" s="49" t="s">
        <v>124</v>
      </c>
      <c r="N12" s="49" t="s">
        <v>125</v>
      </c>
      <c r="O12" s="49" t="s">
        <v>126</v>
      </c>
    </row>
    <row r="13" ht="16.5" customHeight="1">
      <c r="A13" s="1"/>
      <c r="B13" s="42" t="s">
        <v>127</v>
      </c>
      <c r="C13" s="43">
        <f>'⚙️ Допущения'!C20</f>
        <v>0</v>
      </c>
      <c r="D13" s="43">
        <f>ROUND(C13*(1+'⚙️ Допущения'!C21),0)</f>
        <v>0</v>
      </c>
      <c r="E13" s="43">
        <f>ROUND(D13*(1+'⚙️ Допущения'!C21),0)</f>
        <v>0</v>
      </c>
      <c r="F13" s="43">
        <f>ROUND(E13*(1+'⚙️ Допущения'!C21),0)</f>
        <v>0</v>
      </c>
      <c r="G13" s="43">
        <f>ROUND(F13*(1+'⚙️ Допущения'!C21),0)</f>
        <v>0</v>
      </c>
      <c r="H13" s="43">
        <f>ROUND(G13*(1+'⚙️ Допущения'!C21),0)</f>
        <v>0</v>
      </c>
      <c r="I13" s="43">
        <f>ROUND(H13*(1+'⚙️ Допущения'!C21),0)</f>
        <v>0</v>
      </c>
      <c r="J13" s="43">
        <f>ROUND(I13*(1+'⚙️ Допущения'!C21),0)</f>
        <v>0</v>
      </c>
      <c r="K13" s="43">
        <f>ROUND(J13*(1+'⚙️ Допущения'!C21),0)</f>
        <v>0</v>
      </c>
      <c r="L13" s="43">
        <f>ROUND(K13*(1+'⚙️ Допущения'!C21),0)</f>
        <v>0</v>
      </c>
      <c r="M13" s="43">
        <f>ROUND(L13*(1+'⚙️ Допущения'!C21),0)</f>
        <v>0</v>
      </c>
      <c r="N13" s="43">
        <f>ROUND(M13*(1+'⚙️ Допущения'!C21),0)</f>
        <v>0</v>
      </c>
      <c r="O13" s="44">
        <f t="shared" ref="O13:O14" si="2">SUM(C13:N13)</f>
        <v>0</v>
      </c>
    </row>
    <row r="14" ht="16.5" customHeight="1">
      <c r="A14" s="1"/>
      <c r="B14" s="50" t="s">
        <v>128</v>
      </c>
      <c r="C14" s="51">
        <f>C13*'⚙️ Допущения'!C19</f>
        <v>0</v>
      </c>
      <c r="D14" s="51">
        <f>D13*'⚙️ Допущения'!C19</f>
        <v>0</v>
      </c>
      <c r="E14" s="51">
        <f>E13*'⚙️ Допущения'!C19</f>
        <v>0</v>
      </c>
      <c r="F14" s="51">
        <f>F13*'⚙️ Допущения'!C19</f>
        <v>0</v>
      </c>
      <c r="G14" s="51">
        <f>G13*'⚙️ Допущения'!C19</f>
        <v>0</v>
      </c>
      <c r="H14" s="51">
        <f>H13*'⚙️ Допущения'!C19</f>
        <v>0</v>
      </c>
      <c r="I14" s="51">
        <f>I13*'⚙️ Допущения'!C19</f>
        <v>0</v>
      </c>
      <c r="J14" s="51">
        <f>J13*'⚙️ Допущения'!C19</f>
        <v>0</v>
      </c>
      <c r="K14" s="51">
        <f>K13*'⚙️ Допущения'!C19</f>
        <v>0</v>
      </c>
      <c r="L14" s="51">
        <f>L13*'⚙️ Допущения'!C19</f>
        <v>0</v>
      </c>
      <c r="M14" s="51">
        <f>M13*'⚙️ Допущения'!C19</f>
        <v>0</v>
      </c>
      <c r="N14" s="51">
        <f>N13*'⚙️ Допущения'!C19</f>
        <v>0</v>
      </c>
      <c r="O14" s="47">
        <f t="shared" si="2"/>
        <v>0</v>
      </c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3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ht="19.5" customHeight="1">
      <c r="A17" s="1"/>
      <c r="B17" s="23" t="s">
        <v>130</v>
      </c>
      <c r="C17" s="3"/>
      <c r="D17" s="3"/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ht="16.5" customHeight="1">
      <c r="A18" s="1"/>
      <c r="B18" s="52" t="s">
        <v>131</v>
      </c>
      <c r="C18" s="53">
        <f t="shared" ref="C18:N18" si="3">C8+C14</f>
        <v>1500000</v>
      </c>
      <c r="D18" s="53">
        <f t="shared" si="3"/>
        <v>1575000</v>
      </c>
      <c r="E18" s="53">
        <f t="shared" si="3"/>
        <v>1655000</v>
      </c>
      <c r="F18" s="53">
        <f t="shared" si="3"/>
        <v>1740000</v>
      </c>
      <c r="G18" s="53">
        <f t="shared" si="3"/>
        <v>1825000</v>
      </c>
      <c r="H18" s="53">
        <f t="shared" si="3"/>
        <v>1915000</v>
      </c>
      <c r="I18" s="53">
        <f t="shared" si="3"/>
        <v>2010000</v>
      </c>
      <c r="J18" s="53">
        <f t="shared" si="3"/>
        <v>2110000</v>
      </c>
      <c r="K18" s="53">
        <f t="shared" si="3"/>
        <v>2215000</v>
      </c>
      <c r="L18" s="53">
        <f t="shared" si="3"/>
        <v>2325000</v>
      </c>
      <c r="M18" s="53">
        <f t="shared" si="3"/>
        <v>2440000</v>
      </c>
      <c r="N18" s="53">
        <f t="shared" si="3"/>
        <v>2560000</v>
      </c>
      <c r="O18" s="47">
        <f t="shared" ref="O18:O19" si="5">SUM(C18:N18)</f>
        <v>23870000</v>
      </c>
    </row>
    <row r="19" ht="16.5" customHeight="1">
      <c r="A19" s="1"/>
      <c r="B19" s="42" t="s">
        <v>132</v>
      </c>
      <c r="C19" s="54">
        <f t="shared" ref="C19:N19" si="4">C7+C13</f>
        <v>300</v>
      </c>
      <c r="D19" s="54">
        <f t="shared" si="4"/>
        <v>315</v>
      </c>
      <c r="E19" s="54">
        <f t="shared" si="4"/>
        <v>331</v>
      </c>
      <c r="F19" s="54">
        <f t="shared" si="4"/>
        <v>348</v>
      </c>
      <c r="G19" s="54">
        <f t="shared" si="4"/>
        <v>365</v>
      </c>
      <c r="H19" s="54">
        <f t="shared" si="4"/>
        <v>383</v>
      </c>
      <c r="I19" s="54">
        <f t="shared" si="4"/>
        <v>402</v>
      </c>
      <c r="J19" s="54">
        <f t="shared" si="4"/>
        <v>422</v>
      </c>
      <c r="K19" s="54">
        <f t="shared" si="4"/>
        <v>443</v>
      </c>
      <c r="L19" s="54">
        <f t="shared" si="4"/>
        <v>465</v>
      </c>
      <c r="M19" s="54">
        <f t="shared" si="4"/>
        <v>488</v>
      </c>
      <c r="N19" s="54">
        <f t="shared" si="4"/>
        <v>512</v>
      </c>
      <c r="O19" s="44">
        <f t="shared" si="5"/>
        <v>4774</v>
      </c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5">
    <mergeCell ref="B2:O2"/>
    <mergeCell ref="B3:O3"/>
    <mergeCell ref="B5:E5"/>
    <mergeCell ref="B11:E11"/>
    <mergeCell ref="B17:E1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14" width="12.0"/>
    <col customWidth="1" min="15" max="15" width="14.0"/>
    <col customWidth="1" min="16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7.75" customHeight="1">
      <c r="A2" s="1"/>
      <c r="B2" s="55" t="s">
        <v>133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ht="15.0" customHeight="1">
      <c r="A3" s="1"/>
      <c r="B3" s="22" t="s">
        <v>134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19.5" customHeight="1">
      <c r="A5" s="1"/>
      <c r="B5" s="36" t="s">
        <v>135</v>
      </c>
      <c r="C5" s="3"/>
      <c r="D5" s="3"/>
      <c r="E5" s="4"/>
      <c r="F5" s="1"/>
      <c r="G5" s="1"/>
      <c r="H5" s="1"/>
      <c r="I5" s="1"/>
      <c r="J5" s="1"/>
      <c r="K5" s="1"/>
      <c r="L5" s="1"/>
      <c r="M5" s="1"/>
      <c r="N5" s="1"/>
      <c r="O5" s="1"/>
    </row>
    <row r="6" ht="21.75" customHeight="1">
      <c r="A6" s="1"/>
      <c r="B6" s="48" t="s">
        <v>113</v>
      </c>
      <c r="C6" s="49" t="s">
        <v>114</v>
      </c>
      <c r="D6" s="49" t="s">
        <v>115</v>
      </c>
      <c r="E6" s="49" t="s">
        <v>116</v>
      </c>
      <c r="F6" s="49" t="s">
        <v>117</v>
      </c>
      <c r="G6" s="49" t="s">
        <v>118</v>
      </c>
      <c r="H6" s="49" t="s">
        <v>119</v>
      </c>
      <c r="I6" s="49" t="s">
        <v>120</v>
      </c>
      <c r="J6" s="49" t="s">
        <v>121</v>
      </c>
      <c r="K6" s="49" t="s">
        <v>122</v>
      </c>
      <c r="L6" s="49" t="s">
        <v>123</v>
      </c>
      <c r="M6" s="49" t="s">
        <v>124</v>
      </c>
      <c r="N6" s="49" t="s">
        <v>125</v>
      </c>
      <c r="O6" s="49" t="s">
        <v>126</v>
      </c>
    </row>
    <row r="7" ht="16.5" customHeight="1">
      <c r="A7" s="1"/>
      <c r="B7" s="42" t="s">
        <v>65</v>
      </c>
      <c r="C7" s="56">
        <f>'⚙️ Допущения'!C25</f>
        <v>50000</v>
      </c>
      <c r="D7" s="56">
        <f>C7*(1+'⚙️ Допущения'!C30)</f>
        <v>51000</v>
      </c>
      <c r="E7" s="56">
        <f>D7*(1+'⚙️ Допущения'!C30)</f>
        <v>52020</v>
      </c>
      <c r="F7" s="56">
        <f>E7*(1+'⚙️ Допущения'!C30)</f>
        <v>53060.4</v>
      </c>
      <c r="G7" s="56">
        <f>F7*(1+'⚙️ Допущения'!C30)</f>
        <v>54121.608</v>
      </c>
      <c r="H7" s="56">
        <f>G7*(1+'⚙️ Допущения'!C30)</f>
        <v>55204.04016</v>
      </c>
      <c r="I7" s="56">
        <f>H7*(1+'⚙️ Допущения'!C30)</f>
        <v>56308.12096</v>
      </c>
      <c r="J7" s="56">
        <f>I7*(1+'⚙️ Допущения'!C30)</f>
        <v>57434.28338</v>
      </c>
      <c r="K7" s="56">
        <f>J7*(1+'⚙️ Допущения'!C30)</f>
        <v>58582.96905</v>
      </c>
      <c r="L7" s="56">
        <f>K7*(1+'⚙️ Допущения'!C30)</f>
        <v>59754.62843</v>
      </c>
      <c r="M7" s="56">
        <f>L7*(1+'⚙️ Допущения'!C30)</f>
        <v>60949.721</v>
      </c>
      <c r="N7" s="56">
        <f>M7*(1+'⚙️ Допущения'!C30)</f>
        <v>62168.71542</v>
      </c>
      <c r="O7" s="57">
        <f t="shared" ref="O7:O11" si="1">SUM(C7:N7)</f>
        <v>670604.4864</v>
      </c>
    </row>
    <row r="8" ht="16.5" customHeight="1">
      <c r="A8" s="1"/>
      <c r="B8" s="42" t="s">
        <v>136</v>
      </c>
      <c r="C8" s="56">
        <f>'⚙️ Допущения'!C26</f>
        <v>200000</v>
      </c>
      <c r="D8" s="56">
        <f>C8*(1+'⚙️ Допущения'!C30)</f>
        <v>204000</v>
      </c>
      <c r="E8" s="56">
        <f>D8*(1+'⚙️ Допущения'!C30)</f>
        <v>208080</v>
      </c>
      <c r="F8" s="56">
        <f>E8*(1+'⚙️ Допущения'!C30)</f>
        <v>212241.6</v>
      </c>
      <c r="G8" s="56">
        <f>F8*(1+'⚙️ Допущения'!C30)</f>
        <v>216486.432</v>
      </c>
      <c r="H8" s="56">
        <f>G8*(1+'⚙️ Допущения'!C30)</f>
        <v>220816.1606</v>
      </c>
      <c r="I8" s="56">
        <f>H8*(1+'⚙️ Допущения'!C30)</f>
        <v>225232.4839</v>
      </c>
      <c r="J8" s="56">
        <f>I8*(1+'⚙️ Допущения'!C30)</f>
        <v>229737.1335</v>
      </c>
      <c r="K8" s="56">
        <f>J8*(1+'⚙️ Допущения'!C30)</f>
        <v>234331.8762</v>
      </c>
      <c r="L8" s="56">
        <f>K8*(1+'⚙️ Допущения'!C30)</f>
        <v>239018.5137</v>
      </c>
      <c r="M8" s="56">
        <f>L8*(1+'⚙️ Допущения'!C30)</f>
        <v>243798.884</v>
      </c>
      <c r="N8" s="56">
        <f>M8*(1+'⚙️ Допущения'!C30)</f>
        <v>248674.8617</v>
      </c>
      <c r="O8" s="57">
        <f t="shared" si="1"/>
        <v>2682417.946</v>
      </c>
    </row>
    <row r="9" ht="16.5" customHeight="1">
      <c r="A9" s="1"/>
      <c r="B9" s="42" t="s">
        <v>137</v>
      </c>
      <c r="C9" s="56">
        <f>'⚙️ Допущения'!C27</f>
        <v>30000</v>
      </c>
      <c r="D9" s="56">
        <f>C9*(1+'⚙️ Допущения'!C30)</f>
        <v>30600</v>
      </c>
      <c r="E9" s="56">
        <f>D9*(1+'⚙️ Допущения'!C30)</f>
        <v>31212</v>
      </c>
      <c r="F9" s="56">
        <f>E9*(1+'⚙️ Допущения'!C30)</f>
        <v>31836.24</v>
      </c>
      <c r="G9" s="56">
        <f>F9*(1+'⚙️ Допущения'!C30)</f>
        <v>32472.9648</v>
      </c>
      <c r="H9" s="56">
        <f>G9*(1+'⚙️ Допущения'!C30)</f>
        <v>33122.4241</v>
      </c>
      <c r="I9" s="56">
        <f>H9*(1+'⚙️ Допущения'!C30)</f>
        <v>33784.87258</v>
      </c>
      <c r="J9" s="56">
        <f>I9*(1+'⚙️ Допущения'!C30)</f>
        <v>34460.57003</v>
      </c>
      <c r="K9" s="56">
        <f>J9*(1+'⚙️ Допущения'!C30)</f>
        <v>35149.78143</v>
      </c>
      <c r="L9" s="56">
        <f>K9*(1+'⚙️ Допущения'!C30)</f>
        <v>35852.77706</v>
      </c>
      <c r="M9" s="56">
        <f>L9*(1+'⚙️ Допущения'!C30)</f>
        <v>36569.8326</v>
      </c>
      <c r="N9" s="56">
        <f>M9*(1+'⚙️ Допущения'!C30)</f>
        <v>37301.22925</v>
      </c>
      <c r="O9" s="57">
        <f t="shared" si="1"/>
        <v>402362.6918</v>
      </c>
    </row>
    <row r="10" ht="16.5" customHeight="1">
      <c r="A10" s="1"/>
      <c r="B10" s="42" t="s">
        <v>138</v>
      </c>
      <c r="C10" s="56">
        <f>'⚙️ Допущения'!C28</f>
        <v>10000</v>
      </c>
      <c r="D10" s="56">
        <f>C10*(1+'⚙️ Допущения'!C30)</f>
        <v>10200</v>
      </c>
      <c r="E10" s="56">
        <f>D10*(1+'⚙️ Допущения'!C30)</f>
        <v>10404</v>
      </c>
      <c r="F10" s="56">
        <f>E10*(1+'⚙️ Допущения'!C30)</f>
        <v>10612.08</v>
      </c>
      <c r="G10" s="56">
        <f>F10*(1+'⚙️ Допущения'!C30)</f>
        <v>10824.3216</v>
      </c>
      <c r="H10" s="56">
        <f>G10*(1+'⚙️ Допущения'!C30)</f>
        <v>11040.80803</v>
      </c>
      <c r="I10" s="56">
        <f>H10*(1+'⚙️ Допущения'!C30)</f>
        <v>11261.62419</v>
      </c>
      <c r="J10" s="56">
        <f>I10*(1+'⚙️ Допущения'!C30)</f>
        <v>11486.85668</v>
      </c>
      <c r="K10" s="56">
        <f>J10*(1+'⚙️ Допущения'!C30)</f>
        <v>11716.59381</v>
      </c>
      <c r="L10" s="56">
        <f>K10*(1+'⚙️ Допущения'!C30)</f>
        <v>11950.92569</v>
      </c>
      <c r="M10" s="56">
        <f>L10*(1+'⚙️ Допущения'!C30)</f>
        <v>12189.9442</v>
      </c>
      <c r="N10" s="56">
        <f>M10*(1+'⚙️ Допущения'!C30)</f>
        <v>12433.74308</v>
      </c>
      <c r="O10" s="57">
        <f t="shared" si="1"/>
        <v>134120.8973</v>
      </c>
    </row>
    <row r="11" ht="16.5" customHeight="1">
      <c r="A11" s="1"/>
      <c r="B11" s="42" t="s">
        <v>139</v>
      </c>
      <c r="C11" s="56">
        <f>'⚙️ Допущения'!C29</f>
        <v>20000</v>
      </c>
      <c r="D11" s="56">
        <f>C11*(1+'⚙️ Допущения'!C30)</f>
        <v>20400</v>
      </c>
      <c r="E11" s="56">
        <f>D11*(1+'⚙️ Допущения'!C30)</f>
        <v>20808</v>
      </c>
      <c r="F11" s="56">
        <f>E11*(1+'⚙️ Допущения'!C30)</f>
        <v>21224.16</v>
      </c>
      <c r="G11" s="56">
        <f>F11*(1+'⚙️ Допущения'!C30)</f>
        <v>21648.6432</v>
      </c>
      <c r="H11" s="56">
        <f>G11*(1+'⚙️ Допущения'!C30)</f>
        <v>22081.61606</v>
      </c>
      <c r="I11" s="56">
        <f>H11*(1+'⚙️ Допущения'!C30)</f>
        <v>22523.24839</v>
      </c>
      <c r="J11" s="56">
        <f>I11*(1+'⚙️ Допущения'!C30)</f>
        <v>22973.71335</v>
      </c>
      <c r="K11" s="56">
        <f>J11*(1+'⚙️ Допущения'!C30)</f>
        <v>23433.18762</v>
      </c>
      <c r="L11" s="56">
        <f>K11*(1+'⚙️ Допущения'!C30)</f>
        <v>23901.85137</v>
      </c>
      <c r="M11" s="56">
        <f>L11*(1+'⚙️ Допущения'!C30)</f>
        <v>24379.8884</v>
      </c>
      <c r="N11" s="56">
        <f>M11*(1+'⚙️ Допущения'!C30)</f>
        <v>24867.48617</v>
      </c>
      <c r="O11" s="57">
        <f t="shared" si="1"/>
        <v>268241.7946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ht="16.5" customHeight="1">
      <c r="A13" s="1"/>
      <c r="B13" s="50" t="s">
        <v>140</v>
      </c>
      <c r="C13" s="58">
        <f t="shared" ref="C13:N13" si="2">SUM(C7:C11)</f>
        <v>310000</v>
      </c>
      <c r="D13" s="58">
        <f t="shared" si="2"/>
        <v>316200</v>
      </c>
      <c r="E13" s="58">
        <f t="shared" si="2"/>
        <v>322524</v>
      </c>
      <c r="F13" s="58">
        <f t="shared" si="2"/>
        <v>328974.48</v>
      </c>
      <c r="G13" s="58">
        <f t="shared" si="2"/>
        <v>335553.9696</v>
      </c>
      <c r="H13" s="58">
        <f t="shared" si="2"/>
        <v>342265.049</v>
      </c>
      <c r="I13" s="58">
        <f t="shared" si="2"/>
        <v>349110.35</v>
      </c>
      <c r="J13" s="58">
        <f t="shared" si="2"/>
        <v>356092.557</v>
      </c>
      <c r="K13" s="58">
        <f t="shared" si="2"/>
        <v>363214.4081</v>
      </c>
      <c r="L13" s="58">
        <f t="shared" si="2"/>
        <v>370478.6963</v>
      </c>
      <c r="M13" s="58">
        <f t="shared" si="2"/>
        <v>377888.2702</v>
      </c>
      <c r="N13" s="58">
        <f t="shared" si="2"/>
        <v>385446.0356</v>
      </c>
      <c r="O13" s="47">
        <f>SUM(C13:N13)</f>
        <v>4157747.816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3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19.5" customHeight="1">
      <c r="A16" s="1"/>
      <c r="B16" s="28" t="s">
        <v>141</v>
      </c>
      <c r="C16" s="3"/>
      <c r="D16" s="3"/>
      <c r="E16" s="4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ht="21.75" customHeight="1">
      <c r="A17" s="1"/>
      <c r="B17" s="40" t="s">
        <v>113</v>
      </c>
      <c r="C17" s="41" t="s">
        <v>114</v>
      </c>
      <c r="D17" s="41" t="s">
        <v>115</v>
      </c>
      <c r="E17" s="41" t="s">
        <v>116</v>
      </c>
      <c r="F17" s="41" t="s">
        <v>117</v>
      </c>
      <c r="G17" s="41" t="s">
        <v>118</v>
      </c>
      <c r="H17" s="41" t="s">
        <v>119</v>
      </c>
      <c r="I17" s="41" t="s">
        <v>120</v>
      </c>
      <c r="J17" s="41" t="s">
        <v>121</v>
      </c>
      <c r="K17" s="41" t="s">
        <v>122</v>
      </c>
      <c r="L17" s="41" t="s">
        <v>123</v>
      </c>
      <c r="M17" s="41" t="s">
        <v>124</v>
      </c>
      <c r="N17" s="41" t="s">
        <v>125</v>
      </c>
      <c r="O17" s="41" t="s">
        <v>126</v>
      </c>
    </row>
    <row r="18" ht="16.5" customHeight="1">
      <c r="A18" s="1"/>
      <c r="B18" s="42" t="s">
        <v>74</v>
      </c>
      <c r="C18" s="56">
        <f>'📈 Выручка'!C18*'⚙️ Допущения'!C33</f>
        <v>450000</v>
      </c>
      <c r="D18" s="56">
        <f>'📈 Выручка'!D18*'⚙️ Допущения'!C33</f>
        <v>472500</v>
      </c>
      <c r="E18" s="56">
        <f>'📈 Выручка'!E18*'⚙️ Допущения'!C33</f>
        <v>496500</v>
      </c>
      <c r="F18" s="56">
        <f>'📈 Выручка'!F18*'⚙️ Допущения'!C33</f>
        <v>522000</v>
      </c>
      <c r="G18" s="56">
        <f>'📈 Выручка'!G18*'⚙️ Допущения'!C33</f>
        <v>547500</v>
      </c>
      <c r="H18" s="56">
        <f>'📈 Выручка'!H18*'⚙️ Допущения'!C33</f>
        <v>574500</v>
      </c>
      <c r="I18" s="56">
        <f>'📈 Выручка'!I18*'⚙️ Допущения'!C33</f>
        <v>603000</v>
      </c>
      <c r="J18" s="56">
        <f>'📈 Выручка'!J18*'⚙️ Допущения'!C33</f>
        <v>633000</v>
      </c>
      <c r="K18" s="56">
        <f>'📈 Выручка'!K18*'⚙️ Допущения'!C33</f>
        <v>664500</v>
      </c>
      <c r="L18" s="56">
        <f>'📈 Выручка'!L18*'⚙️ Допущения'!C33</f>
        <v>697500</v>
      </c>
      <c r="M18" s="56">
        <f>'📈 Выручка'!M18*'⚙️ Допущения'!C33</f>
        <v>732000</v>
      </c>
      <c r="N18" s="56">
        <f>'📈 Выручка'!N18*'⚙️ Допущения'!C33</f>
        <v>768000</v>
      </c>
      <c r="O18" s="57">
        <f t="shared" ref="O18:O21" si="3">SUM(C18:N18)</f>
        <v>7161000</v>
      </c>
    </row>
    <row r="19" ht="16.5" customHeight="1">
      <c r="A19" s="1"/>
      <c r="B19" s="42" t="s">
        <v>76</v>
      </c>
      <c r="C19" s="56">
        <f>'📈 Выручка'!C18*'⚙️ Допущения'!C34</f>
        <v>30000</v>
      </c>
      <c r="D19" s="56">
        <f>'📈 Выручка'!D18*'⚙️ Допущения'!C34</f>
        <v>31500</v>
      </c>
      <c r="E19" s="56">
        <f>'📈 Выручка'!E18*'⚙️ Допущения'!C34</f>
        <v>33100</v>
      </c>
      <c r="F19" s="56">
        <f>'📈 Выручка'!F18*'⚙️ Допущения'!C34</f>
        <v>34800</v>
      </c>
      <c r="G19" s="56">
        <f>'📈 Выручка'!G18*'⚙️ Допущения'!C34</f>
        <v>36500</v>
      </c>
      <c r="H19" s="56">
        <f>'📈 Выручка'!H18*'⚙️ Допущения'!C34</f>
        <v>38300</v>
      </c>
      <c r="I19" s="56">
        <f>'📈 Выручка'!I18*'⚙️ Допущения'!C34</f>
        <v>40200</v>
      </c>
      <c r="J19" s="56">
        <f>'📈 Выручка'!J18*'⚙️ Допущения'!C34</f>
        <v>42200</v>
      </c>
      <c r="K19" s="56">
        <f>'📈 Выручка'!K18*'⚙️ Допущения'!C34</f>
        <v>44300</v>
      </c>
      <c r="L19" s="56">
        <f>'📈 Выручка'!L18*'⚙️ Допущения'!C34</f>
        <v>46500</v>
      </c>
      <c r="M19" s="56">
        <f>'📈 Выручка'!M18*'⚙️ Допущения'!C34</f>
        <v>48800</v>
      </c>
      <c r="N19" s="56">
        <f>'📈 Выручка'!N18*'⚙️ Допущения'!C34</f>
        <v>51200</v>
      </c>
      <c r="O19" s="57">
        <f t="shared" si="3"/>
        <v>477400</v>
      </c>
    </row>
    <row r="20" ht="16.5" customHeight="1">
      <c r="A20" s="1"/>
      <c r="B20" s="42" t="s">
        <v>78</v>
      </c>
      <c r="C20" s="56">
        <f>'📈 Выручка'!C18*'⚙️ Допущения'!C35</f>
        <v>75000</v>
      </c>
      <c r="D20" s="56">
        <f>'📈 Выручка'!D18*'⚙️ Допущения'!C35</f>
        <v>78750</v>
      </c>
      <c r="E20" s="56">
        <f>'📈 Выручка'!E18*'⚙️ Допущения'!C35</f>
        <v>82750</v>
      </c>
      <c r="F20" s="56">
        <f>'📈 Выручка'!F18*'⚙️ Допущения'!C35</f>
        <v>87000</v>
      </c>
      <c r="G20" s="56">
        <f>'📈 Выручка'!G18*'⚙️ Допущения'!C35</f>
        <v>91250</v>
      </c>
      <c r="H20" s="56">
        <f>'📈 Выручка'!H18*'⚙️ Допущения'!C35</f>
        <v>95750</v>
      </c>
      <c r="I20" s="56">
        <f>'📈 Выручка'!I18*'⚙️ Допущения'!C35</f>
        <v>100500</v>
      </c>
      <c r="J20" s="56">
        <f>'📈 Выручка'!J18*'⚙️ Допущения'!C35</f>
        <v>105500</v>
      </c>
      <c r="K20" s="56">
        <f>'📈 Выручка'!K18*'⚙️ Допущения'!C35</f>
        <v>110750</v>
      </c>
      <c r="L20" s="56">
        <f>'📈 Выручка'!L18*'⚙️ Допущения'!C35</f>
        <v>116250</v>
      </c>
      <c r="M20" s="56">
        <f>'📈 Выручка'!M18*'⚙️ Допущения'!C35</f>
        <v>122000</v>
      </c>
      <c r="N20" s="56">
        <f>'📈 Выручка'!N18*'⚙️ Допущения'!C35</f>
        <v>128000</v>
      </c>
      <c r="O20" s="57">
        <f t="shared" si="3"/>
        <v>1193500</v>
      </c>
    </row>
    <row r="21" ht="16.5" customHeight="1">
      <c r="A21" s="1"/>
      <c r="B21" s="42" t="s">
        <v>80</v>
      </c>
      <c r="C21" s="56">
        <f>'📈 Выручка'!C18*'⚙️ Допущения'!C36</f>
        <v>45000</v>
      </c>
      <c r="D21" s="56">
        <f>'📈 Выручка'!D18*'⚙️ Допущения'!C36</f>
        <v>47250</v>
      </c>
      <c r="E21" s="56">
        <f>'📈 Выручка'!E18*'⚙️ Допущения'!C36</f>
        <v>49650</v>
      </c>
      <c r="F21" s="56">
        <f>'📈 Выручка'!F18*'⚙️ Допущения'!C36</f>
        <v>52200</v>
      </c>
      <c r="G21" s="56">
        <f>'📈 Выручка'!G18*'⚙️ Допущения'!C36</f>
        <v>54750</v>
      </c>
      <c r="H21" s="56">
        <f>'📈 Выручка'!H18*'⚙️ Допущения'!C36</f>
        <v>57450</v>
      </c>
      <c r="I21" s="56">
        <f>'📈 Выручка'!I18*'⚙️ Допущения'!C36</f>
        <v>60300</v>
      </c>
      <c r="J21" s="56">
        <f>'📈 Выручка'!J18*'⚙️ Допущения'!C36</f>
        <v>63300</v>
      </c>
      <c r="K21" s="56">
        <f>'📈 Выручка'!K18*'⚙️ Допущения'!C36</f>
        <v>66450</v>
      </c>
      <c r="L21" s="56">
        <f>'📈 Выручка'!L18*'⚙️ Допущения'!C36</f>
        <v>69750</v>
      </c>
      <c r="M21" s="56">
        <f>'📈 Выручка'!M18*'⚙️ Допущения'!C36</f>
        <v>73200</v>
      </c>
      <c r="N21" s="56">
        <f>'📈 Выручка'!N18*'⚙️ Допущения'!C36</f>
        <v>76800</v>
      </c>
      <c r="O21" s="57">
        <f t="shared" si="3"/>
        <v>716100</v>
      </c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6.5" customHeight="1">
      <c r="A23" s="1"/>
      <c r="B23" s="45" t="s">
        <v>142</v>
      </c>
      <c r="C23" s="59">
        <f t="shared" ref="C23:N23" si="4">SUM(C18:C21)</f>
        <v>600000</v>
      </c>
      <c r="D23" s="59">
        <f t="shared" si="4"/>
        <v>630000</v>
      </c>
      <c r="E23" s="59">
        <f t="shared" si="4"/>
        <v>662000</v>
      </c>
      <c r="F23" s="59">
        <f t="shared" si="4"/>
        <v>696000</v>
      </c>
      <c r="G23" s="59">
        <f t="shared" si="4"/>
        <v>730000</v>
      </c>
      <c r="H23" s="59">
        <f t="shared" si="4"/>
        <v>766000</v>
      </c>
      <c r="I23" s="59">
        <f t="shared" si="4"/>
        <v>804000</v>
      </c>
      <c r="J23" s="59">
        <f t="shared" si="4"/>
        <v>844000</v>
      </c>
      <c r="K23" s="59">
        <f t="shared" si="4"/>
        <v>886000</v>
      </c>
      <c r="L23" s="59">
        <f t="shared" si="4"/>
        <v>930000</v>
      </c>
      <c r="M23" s="59">
        <f t="shared" si="4"/>
        <v>976000</v>
      </c>
      <c r="N23" s="59">
        <f t="shared" si="4"/>
        <v>1024000</v>
      </c>
      <c r="O23" s="47">
        <f>SUM(C23:N23)</f>
        <v>9548000</v>
      </c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ht="3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19.5" customHeight="1">
      <c r="A26" s="1"/>
      <c r="B26" s="23" t="s">
        <v>143</v>
      </c>
      <c r="C26" s="3"/>
      <c r="D26" s="3"/>
      <c r="E26" s="4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16.5" customHeight="1">
      <c r="A27" s="1"/>
      <c r="B27" s="52" t="s">
        <v>144</v>
      </c>
      <c r="C27" s="53">
        <f t="shared" ref="C27:N27" si="5">C13+C23</f>
        <v>910000</v>
      </c>
      <c r="D27" s="53">
        <f t="shared" si="5"/>
        <v>946200</v>
      </c>
      <c r="E27" s="53">
        <f t="shared" si="5"/>
        <v>984524</v>
      </c>
      <c r="F27" s="53">
        <f t="shared" si="5"/>
        <v>1024974.48</v>
      </c>
      <c r="G27" s="53">
        <f t="shared" si="5"/>
        <v>1065553.97</v>
      </c>
      <c r="H27" s="53">
        <f t="shared" si="5"/>
        <v>1108265.049</v>
      </c>
      <c r="I27" s="53">
        <f t="shared" si="5"/>
        <v>1153110.35</v>
      </c>
      <c r="J27" s="53">
        <f t="shared" si="5"/>
        <v>1200092.557</v>
      </c>
      <c r="K27" s="53">
        <f t="shared" si="5"/>
        <v>1249214.408</v>
      </c>
      <c r="L27" s="53">
        <f t="shared" si="5"/>
        <v>1300478.696</v>
      </c>
      <c r="M27" s="53">
        <f t="shared" si="5"/>
        <v>1353888.27</v>
      </c>
      <c r="N27" s="53">
        <f t="shared" si="5"/>
        <v>1409446.036</v>
      </c>
      <c r="O27" s="47">
        <f>SUM(C27:N27)</f>
        <v>13705747.82</v>
      </c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5">
    <mergeCell ref="B2:O2"/>
    <mergeCell ref="B3:O3"/>
    <mergeCell ref="B5:E5"/>
    <mergeCell ref="B16:E16"/>
    <mergeCell ref="B26:E2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14" width="12.0"/>
    <col customWidth="1" min="15" max="15" width="14.0"/>
    <col customWidth="1" min="16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7.75" customHeight="1">
      <c r="A2" s="1"/>
      <c r="B2" s="20" t="s">
        <v>145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1.75" customHeight="1">
      <c r="A4" s="1"/>
      <c r="B4" s="60" t="s">
        <v>113</v>
      </c>
      <c r="C4" s="61" t="s">
        <v>114</v>
      </c>
      <c r="D4" s="61" t="s">
        <v>115</v>
      </c>
      <c r="E4" s="61" t="s">
        <v>116</v>
      </c>
      <c r="F4" s="61" t="s">
        <v>117</v>
      </c>
      <c r="G4" s="61" t="s">
        <v>118</v>
      </c>
      <c r="H4" s="61" t="s">
        <v>119</v>
      </c>
      <c r="I4" s="61" t="s">
        <v>120</v>
      </c>
      <c r="J4" s="61" t="s">
        <v>121</v>
      </c>
      <c r="K4" s="61" t="s">
        <v>122</v>
      </c>
      <c r="L4" s="61" t="s">
        <v>123</v>
      </c>
      <c r="M4" s="61" t="s">
        <v>124</v>
      </c>
      <c r="N4" s="61" t="s">
        <v>125</v>
      </c>
      <c r="O4" s="61" t="s">
        <v>126</v>
      </c>
    </row>
    <row r="5" ht="16.5" customHeight="1">
      <c r="A5" s="1"/>
      <c r="B5" s="52" t="s">
        <v>146</v>
      </c>
      <c r="C5" s="53">
        <f>'📈 Выручка'!C18</f>
        <v>1500000</v>
      </c>
      <c r="D5" s="53">
        <f>'📈 Выручка'!D18</f>
        <v>1575000</v>
      </c>
      <c r="E5" s="53">
        <f>'📈 Выручка'!E18</f>
        <v>1655000</v>
      </c>
      <c r="F5" s="53">
        <f>'📈 Выручка'!F18</f>
        <v>1740000</v>
      </c>
      <c r="G5" s="53">
        <f>'📈 Выручка'!G18</f>
        <v>1825000</v>
      </c>
      <c r="H5" s="53">
        <f>'📈 Выручка'!H18</f>
        <v>1915000</v>
      </c>
      <c r="I5" s="53">
        <f>'📈 Выручка'!I18</f>
        <v>2010000</v>
      </c>
      <c r="J5" s="53">
        <f>'📈 Выручка'!J18</f>
        <v>2110000</v>
      </c>
      <c r="K5" s="53">
        <f>'📈 Выручка'!K18</f>
        <v>2215000</v>
      </c>
      <c r="L5" s="53">
        <f>'📈 Выручка'!L18</f>
        <v>2325000</v>
      </c>
      <c r="M5" s="53">
        <f>'📈 Выручка'!M18</f>
        <v>2440000</v>
      </c>
      <c r="N5" s="53">
        <f>'📈 Выручка'!N18</f>
        <v>2560000</v>
      </c>
      <c r="O5" s="62">
        <f t="shared" ref="O5:O7" si="1">SUM(C5:N5)</f>
        <v>23870000</v>
      </c>
    </row>
    <row r="6" ht="16.5" customHeight="1">
      <c r="A6" s="1"/>
      <c r="B6" s="42" t="s">
        <v>147</v>
      </c>
      <c r="C6" s="63">
        <f>'💸 Расходы'!C18</f>
        <v>450000</v>
      </c>
      <c r="D6" s="63">
        <f>'💸 Расходы'!D18</f>
        <v>472500</v>
      </c>
      <c r="E6" s="63">
        <f>'💸 Расходы'!E18</f>
        <v>496500</v>
      </c>
      <c r="F6" s="63">
        <f>'💸 Расходы'!F18</f>
        <v>522000</v>
      </c>
      <c r="G6" s="63">
        <f>'💸 Расходы'!G18</f>
        <v>547500</v>
      </c>
      <c r="H6" s="63">
        <f>'💸 Расходы'!H18</f>
        <v>574500</v>
      </c>
      <c r="I6" s="63">
        <f>'💸 Расходы'!I18</f>
        <v>603000</v>
      </c>
      <c r="J6" s="63">
        <f>'💸 Расходы'!J18</f>
        <v>633000</v>
      </c>
      <c r="K6" s="63">
        <f>'💸 Расходы'!K18</f>
        <v>664500</v>
      </c>
      <c r="L6" s="63">
        <f>'💸 Расходы'!L18</f>
        <v>697500</v>
      </c>
      <c r="M6" s="63">
        <f>'💸 Расходы'!M18</f>
        <v>732000</v>
      </c>
      <c r="N6" s="63">
        <f>'💸 Расходы'!N18</f>
        <v>768000</v>
      </c>
      <c r="O6" s="57">
        <f t="shared" si="1"/>
        <v>7161000</v>
      </c>
    </row>
    <row r="7" ht="16.5" customHeight="1">
      <c r="A7" s="1"/>
      <c r="B7" s="45" t="s">
        <v>148</v>
      </c>
      <c r="C7" s="59">
        <f t="shared" ref="C7:N7" si="2">C5-C6</f>
        <v>1050000</v>
      </c>
      <c r="D7" s="59">
        <f t="shared" si="2"/>
        <v>1102500</v>
      </c>
      <c r="E7" s="59">
        <f t="shared" si="2"/>
        <v>1158500</v>
      </c>
      <c r="F7" s="59">
        <f t="shared" si="2"/>
        <v>1218000</v>
      </c>
      <c r="G7" s="59">
        <f t="shared" si="2"/>
        <v>1277500</v>
      </c>
      <c r="H7" s="59">
        <f t="shared" si="2"/>
        <v>1340500</v>
      </c>
      <c r="I7" s="59">
        <f t="shared" si="2"/>
        <v>1407000</v>
      </c>
      <c r="J7" s="59">
        <f t="shared" si="2"/>
        <v>1477000</v>
      </c>
      <c r="K7" s="59">
        <f t="shared" si="2"/>
        <v>1550500</v>
      </c>
      <c r="L7" s="59">
        <f t="shared" si="2"/>
        <v>1627500</v>
      </c>
      <c r="M7" s="59">
        <f t="shared" si="2"/>
        <v>1708000</v>
      </c>
      <c r="N7" s="59">
        <f t="shared" si="2"/>
        <v>1792000</v>
      </c>
      <c r="O7" s="64">
        <f t="shared" si="1"/>
        <v>16709000</v>
      </c>
    </row>
    <row r="8" ht="16.5" customHeight="1">
      <c r="A8" s="1"/>
      <c r="B8" s="42" t="s">
        <v>149</v>
      </c>
      <c r="C8" s="65">
        <f t="shared" ref="C8:N8" si="3">IFERROR(C7/C5,0)</f>
        <v>0.7</v>
      </c>
      <c r="D8" s="65">
        <f t="shared" si="3"/>
        <v>0.7</v>
      </c>
      <c r="E8" s="65">
        <f t="shared" si="3"/>
        <v>0.7</v>
      </c>
      <c r="F8" s="65">
        <f t="shared" si="3"/>
        <v>0.7</v>
      </c>
      <c r="G8" s="65">
        <f t="shared" si="3"/>
        <v>0.7</v>
      </c>
      <c r="H8" s="65">
        <f t="shared" si="3"/>
        <v>0.7</v>
      </c>
      <c r="I8" s="65">
        <f t="shared" si="3"/>
        <v>0.7</v>
      </c>
      <c r="J8" s="65">
        <f t="shared" si="3"/>
        <v>0.7</v>
      </c>
      <c r="K8" s="65">
        <f t="shared" si="3"/>
        <v>0.7</v>
      </c>
      <c r="L8" s="65">
        <f t="shared" si="3"/>
        <v>0.7</v>
      </c>
      <c r="M8" s="65">
        <f t="shared" si="3"/>
        <v>0.7</v>
      </c>
      <c r="N8" s="65">
        <f t="shared" si="3"/>
        <v>0.7</v>
      </c>
      <c r="O8" s="66" t="s">
        <v>150</v>
      </c>
    </row>
    <row r="9" ht="16.5" customHeight="1">
      <c r="A9" s="1"/>
      <c r="B9" s="42" t="s">
        <v>151</v>
      </c>
      <c r="C9" s="63">
        <f>'💸 Расходы'!C20</f>
        <v>75000</v>
      </c>
      <c r="D9" s="63">
        <f>'💸 Расходы'!D20</f>
        <v>78750</v>
      </c>
      <c r="E9" s="63">
        <f>'💸 Расходы'!E20</f>
        <v>82750</v>
      </c>
      <c r="F9" s="63">
        <f>'💸 Расходы'!F20</f>
        <v>87000</v>
      </c>
      <c r="G9" s="63">
        <f>'💸 Расходы'!G20</f>
        <v>91250</v>
      </c>
      <c r="H9" s="63">
        <f>'💸 Расходы'!H20</f>
        <v>95750</v>
      </c>
      <c r="I9" s="63">
        <f>'💸 Расходы'!I20</f>
        <v>100500</v>
      </c>
      <c r="J9" s="63">
        <f>'💸 Расходы'!J20</f>
        <v>105500</v>
      </c>
      <c r="K9" s="63">
        <f>'💸 Расходы'!K20</f>
        <v>110750</v>
      </c>
      <c r="L9" s="63">
        <f>'💸 Расходы'!L20</f>
        <v>116250</v>
      </c>
      <c r="M9" s="63">
        <f>'💸 Расходы'!M20</f>
        <v>122000</v>
      </c>
      <c r="N9" s="63">
        <f>'💸 Расходы'!N20</f>
        <v>128000</v>
      </c>
      <c r="O9" s="57">
        <f t="shared" ref="O9:O17" si="4">SUM(C9:N9)</f>
        <v>1193500</v>
      </c>
    </row>
    <row r="10" ht="16.5" customHeight="1">
      <c r="A10" s="1"/>
      <c r="B10" s="42" t="s">
        <v>152</v>
      </c>
      <c r="C10" s="63">
        <f>'💸 Расходы'!C19</f>
        <v>30000</v>
      </c>
      <c r="D10" s="63">
        <f>'💸 Расходы'!D19</f>
        <v>31500</v>
      </c>
      <c r="E10" s="63">
        <f>'💸 Расходы'!E19</f>
        <v>33100</v>
      </c>
      <c r="F10" s="63">
        <f>'💸 Расходы'!F19</f>
        <v>34800</v>
      </c>
      <c r="G10" s="63">
        <f>'💸 Расходы'!G19</f>
        <v>36500</v>
      </c>
      <c r="H10" s="63">
        <f>'💸 Расходы'!H19</f>
        <v>38300</v>
      </c>
      <c r="I10" s="63">
        <f>'💸 Расходы'!I19</f>
        <v>40200</v>
      </c>
      <c r="J10" s="63">
        <f>'💸 Расходы'!J19</f>
        <v>42200</v>
      </c>
      <c r="K10" s="63">
        <f>'💸 Расходы'!K19</f>
        <v>44300</v>
      </c>
      <c r="L10" s="63">
        <f>'💸 Расходы'!L19</f>
        <v>46500</v>
      </c>
      <c r="M10" s="63">
        <f>'💸 Расходы'!M19</f>
        <v>48800</v>
      </c>
      <c r="N10" s="63">
        <f>'💸 Расходы'!N19</f>
        <v>51200</v>
      </c>
      <c r="O10" s="57">
        <f t="shared" si="4"/>
        <v>477400</v>
      </c>
    </row>
    <row r="11" ht="16.5" customHeight="1">
      <c r="A11" s="1"/>
      <c r="B11" s="42" t="s">
        <v>153</v>
      </c>
      <c r="C11" s="63">
        <f>'💸 Расходы'!C21</f>
        <v>45000</v>
      </c>
      <c r="D11" s="63">
        <f>'💸 Расходы'!D21</f>
        <v>47250</v>
      </c>
      <c r="E11" s="63">
        <f>'💸 Расходы'!E21</f>
        <v>49650</v>
      </c>
      <c r="F11" s="63">
        <f>'💸 Расходы'!F21</f>
        <v>52200</v>
      </c>
      <c r="G11" s="63">
        <f>'💸 Расходы'!G21</f>
        <v>54750</v>
      </c>
      <c r="H11" s="63">
        <f>'💸 Расходы'!H21</f>
        <v>57450</v>
      </c>
      <c r="I11" s="63">
        <f>'💸 Расходы'!I21</f>
        <v>60300</v>
      </c>
      <c r="J11" s="63">
        <f>'💸 Расходы'!J21</f>
        <v>63300</v>
      </c>
      <c r="K11" s="63">
        <f>'💸 Расходы'!K21</f>
        <v>66450</v>
      </c>
      <c r="L11" s="63">
        <f>'💸 Расходы'!L21</f>
        <v>69750</v>
      </c>
      <c r="M11" s="63">
        <f>'💸 Расходы'!M21</f>
        <v>73200</v>
      </c>
      <c r="N11" s="63">
        <f>'💸 Расходы'!N21</f>
        <v>76800</v>
      </c>
      <c r="O11" s="57">
        <f t="shared" si="4"/>
        <v>716100</v>
      </c>
    </row>
    <row r="12" ht="16.5" customHeight="1">
      <c r="A12" s="1"/>
      <c r="B12" s="42" t="s">
        <v>154</v>
      </c>
      <c r="C12" s="63">
        <f>'💸 Расходы'!C7</f>
        <v>50000</v>
      </c>
      <c r="D12" s="63">
        <f>'💸 Расходы'!D7</f>
        <v>51000</v>
      </c>
      <c r="E12" s="63">
        <f>'💸 Расходы'!E7</f>
        <v>52020</v>
      </c>
      <c r="F12" s="63">
        <f>'💸 Расходы'!F7</f>
        <v>53060.4</v>
      </c>
      <c r="G12" s="63">
        <f>'💸 Расходы'!G7</f>
        <v>54121.608</v>
      </c>
      <c r="H12" s="63">
        <f>'💸 Расходы'!H7</f>
        <v>55204.04016</v>
      </c>
      <c r="I12" s="63">
        <f>'💸 Расходы'!I7</f>
        <v>56308.12096</v>
      </c>
      <c r="J12" s="63">
        <f>'💸 Расходы'!J7</f>
        <v>57434.28338</v>
      </c>
      <c r="K12" s="63">
        <f>'💸 Расходы'!K7</f>
        <v>58582.96905</v>
      </c>
      <c r="L12" s="63">
        <f>'💸 Расходы'!L7</f>
        <v>59754.62843</v>
      </c>
      <c r="M12" s="63">
        <f>'💸 Расходы'!M7</f>
        <v>60949.721</v>
      </c>
      <c r="N12" s="63">
        <f>'💸 Расходы'!N7</f>
        <v>62168.71542</v>
      </c>
      <c r="O12" s="57">
        <f t="shared" si="4"/>
        <v>670604.4864</v>
      </c>
    </row>
    <row r="13" ht="16.5" customHeight="1">
      <c r="A13" s="1"/>
      <c r="B13" s="42" t="s">
        <v>155</v>
      </c>
      <c r="C13" s="63">
        <f>'💸 Расходы'!C8</f>
        <v>200000</v>
      </c>
      <c r="D13" s="63">
        <f>'💸 Расходы'!D8</f>
        <v>204000</v>
      </c>
      <c r="E13" s="63">
        <f>'💸 Расходы'!E8</f>
        <v>208080</v>
      </c>
      <c r="F13" s="63">
        <f>'💸 Расходы'!F8</f>
        <v>212241.6</v>
      </c>
      <c r="G13" s="63">
        <f>'💸 Расходы'!G8</f>
        <v>216486.432</v>
      </c>
      <c r="H13" s="63">
        <f>'💸 Расходы'!H8</f>
        <v>220816.1606</v>
      </c>
      <c r="I13" s="63">
        <f>'💸 Расходы'!I8</f>
        <v>225232.4839</v>
      </c>
      <c r="J13" s="63">
        <f>'💸 Расходы'!J8</f>
        <v>229737.1335</v>
      </c>
      <c r="K13" s="63">
        <f>'💸 Расходы'!K8</f>
        <v>234331.8762</v>
      </c>
      <c r="L13" s="63">
        <f>'💸 Расходы'!L8</f>
        <v>239018.5137</v>
      </c>
      <c r="M13" s="63">
        <f>'💸 Расходы'!M8</f>
        <v>243798.884</v>
      </c>
      <c r="N13" s="63">
        <f>'💸 Расходы'!N8</f>
        <v>248674.8617</v>
      </c>
      <c r="O13" s="57">
        <f t="shared" si="4"/>
        <v>2682417.946</v>
      </c>
    </row>
    <row r="14" ht="16.5" customHeight="1">
      <c r="A14" s="1"/>
      <c r="B14" s="42" t="s">
        <v>156</v>
      </c>
      <c r="C14" s="63">
        <f>'💸 Расходы'!C9</f>
        <v>30000</v>
      </c>
      <c r="D14" s="63">
        <f>'💸 Расходы'!D9</f>
        <v>30600</v>
      </c>
      <c r="E14" s="63">
        <f>'💸 Расходы'!E9</f>
        <v>31212</v>
      </c>
      <c r="F14" s="63">
        <f>'💸 Расходы'!F9</f>
        <v>31836.24</v>
      </c>
      <c r="G14" s="63">
        <f>'💸 Расходы'!G9</f>
        <v>32472.9648</v>
      </c>
      <c r="H14" s="63">
        <f>'💸 Расходы'!H9</f>
        <v>33122.4241</v>
      </c>
      <c r="I14" s="63">
        <f>'💸 Расходы'!I9</f>
        <v>33784.87258</v>
      </c>
      <c r="J14" s="63">
        <f>'💸 Расходы'!J9</f>
        <v>34460.57003</v>
      </c>
      <c r="K14" s="63">
        <f>'💸 Расходы'!K9</f>
        <v>35149.78143</v>
      </c>
      <c r="L14" s="63">
        <f>'💸 Расходы'!L9</f>
        <v>35852.77706</v>
      </c>
      <c r="M14" s="63">
        <f>'💸 Расходы'!M9</f>
        <v>36569.8326</v>
      </c>
      <c r="N14" s="63">
        <f>'💸 Расходы'!N9</f>
        <v>37301.22925</v>
      </c>
      <c r="O14" s="57">
        <f t="shared" si="4"/>
        <v>402362.6918</v>
      </c>
    </row>
    <row r="15" ht="16.5" customHeight="1">
      <c r="A15" s="1"/>
      <c r="B15" s="42" t="s">
        <v>157</v>
      </c>
      <c r="C15" s="63">
        <f>'💸 Расходы'!C10</f>
        <v>10000</v>
      </c>
      <c r="D15" s="63">
        <f>'💸 Расходы'!D10</f>
        <v>10200</v>
      </c>
      <c r="E15" s="63">
        <f>'💸 Расходы'!E10</f>
        <v>10404</v>
      </c>
      <c r="F15" s="63">
        <f>'💸 Расходы'!F10</f>
        <v>10612.08</v>
      </c>
      <c r="G15" s="63">
        <f>'💸 Расходы'!G10</f>
        <v>10824.3216</v>
      </c>
      <c r="H15" s="63">
        <f>'💸 Расходы'!H10</f>
        <v>11040.80803</v>
      </c>
      <c r="I15" s="63">
        <f>'💸 Расходы'!I10</f>
        <v>11261.62419</v>
      </c>
      <c r="J15" s="63">
        <f>'💸 Расходы'!J10</f>
        <v>11486.85668</v>
      </c>
      <c r="K15" s="63">
        <f>'💸 Расходы'!K10</f>
        <v>11716.59381</v>
      </c>
      <c r="L15" s="63">
        <f>'💸 Расходы'!L10</f>
        <v>11950.92569</v>
      </c>
      <c r="M15" s="63">
        <f>'💸 Расходы'!M10</f>
        <v>12189.9442</v>
      </c>
      <c r="N15" s="63">
        <f>'💸 Расходы'!N10</f>
        <v>12433.74308</v>
      </c>
      <c r="O15" s="57">
        <f t="shared" si="4"/>
        <v>134120.8973</v>
      </c>
    </row>
    <row r="16" ht="16.5" customHeight="1">
      <c r="A16" s="1"/>
      <c r="B16" s="42" t="s">
        <v>158</v>
      </c>
      <c r="C16" s="63">
        <f>'💸 Расходы'!C11</f>
        <v>20000</v>
      </c>
      <c r="D16" s="63">
        <f>'💸 Расходы'!D11</f>
        <v>20400</v>
      </c>
      <c r="E16" s="63">
        <f>'💸 Расходы'!E11</f>
        <v>20808</v>
      </c>
      <c r="F16" s="63">
        <f>'💸 Расходы'!F11</f>
        <v>21224.16</v>
      </c>
      <c r="G16" s="63">
        <f>'💸 Расходы'!G11</f>
        <v>21648.6432</v>
      </c>
      <c r="H16" s="63">
        <f>'💸 Расходы'!H11</f>
        <v>22081.61606</v>
      </c>
      <c r="I16" s="63">
        <f>'💸 Расходы'!I11</f>
        <v>22523.24839</v>
      </c>
      <c r="J16" s="63">
        <f>'💸 Расходы'!J11</f>
        <v>22973.71335</v>
      </c>
      <c r="K16" s="63">
        <f>'💸 Расходы'!K11</f>
        <v>23433.18762</v>
      </c>
      <c r="L16" s="63">
        <f>'💸 Расходы'!L11</f>
        <v>23901.85137</v>
      </c>
      <c r="M16" s="63">
        <f>'💸 Расходы'!M11</f>
        <v>24379.8884</v>
      </c>
      <c r="N16" s="63">
        <f>'💸 Расходы'!N11</f>
        <v>24867.48617</v>
      </c>
      <c r="O16" s="57">
        <f t="shared" si="4"/>
        <v>268241.7946</v>
      </c>
    </row>
    <row r="17" ht="16.5" customHeight="1">
      <c r="A17" s="1"/>
      <c r="B17" s="45" t="s">
        <v>159</v>
      </c>
      <c r="C17" s="59">
        <f t="shared" ref="C17:N17" si="5">C7-SUM(C9:C16)</f>
        <v>590000</v>
      </c>
      <c r="D17" s="59">
        <f t="shared" si="5"/>
        <v>628800</v>
      </c>
      <c r="E17" s="59">
        <f t="shared" si="5"/>
        <v>670476</v>
      </c>
      <c r="F17" s="59">
        <f t="shared" si="5"/>
        <v>715025.52</v>
      </c>
      <c r="G17" s="59">
        <f t="shared" si="5"/>
        <v>759446.0304</v>
      </c>
      <c r="H17" s="59">
        <f t="shared" si="5"/>
        <v>806734.951</v>
      </c>
      <c r="I17" s="59">
        <f t="shared" si="5"/>
        <v>856889.65</v>
      </c>
      <c r="J17" s="59">
        <f t="shared" si="5"/>
        <v>909907.443</v>
      </c>
      <c r="K17" s="59">
        <f t="shared" si="5"/>
        <v>965785.5919</v>
      </c>
      <c r="L17" s="59">
        <f t="shared" si="5"/>
        <v>1024521.304</v>
      </c>
      <c r="M17" s="59">
        <f t="shared" si="5"/>
        <v>1086111.73</v>
      </c>
      <c r="N17" s="59">
        <f t="shared" si="5"/>
        <v>1150553.964</v>
      </c>
      <c r="O17" s="64">
        <f t="shared" si="4"/>
        <v>10164252.18</v>
      </c>
    </row>
    <row r="18" ht="16.5" customHeight="1">
      <c r="A18" s="1"/>
      <c r="B18" s="42" t="s">
        <v>160</v>
      </c>
      <c r="C18" s="65">
        <f t="shared" ref="C18:N18" si="6">IFERROR(C17/C5,0)</f>
        <v>0.3933333333</v>
      </c>
      <c r="D18" s="65">
        <f t="shared" si="6"/>
        <v>0.3992380952</v>
      </c>
      <c r="E18" s="65">
        <f t="shared" si="6"/>
        <v>0.4051214502</v>
      </c>
      <c r="F18" s="65">
        <f t="shared" si="6"/>
        <v>0.4109342069</v>
      </c>
      <c r="G18" s="65">
        <f t="shared" si="6"/>
        <v>0.4161348112</v>
      </c>
      <c r="H18" s="65">
        <f t="shared" si="6"/>
        <v>0.4212715149</v>
      </c>
      <c r="I18" s="65">
        <f t="shared" si="6"/>
        <v>0.4263132587</v>
      </c>
      <c r="J18" s="65">
        <f t="shared" si="6"/>
        <v>0.431235755</v>
      </c>
      <c r="K18" s="65">
        <f t="shared" si="6"/>
        <v>0.4360205832</v>
      </c>
      <c r="L18" s="65">
        <f t="shared" si="6"/>
        <v>0.4406543242</v>
      </c>
      <c r="M18" s="65">
        <f t="shared" si="6"/>
        <v>0.4451277581</v>
      </c>
      <c r="N18" s="65">
        <f t="shared" si="6"/>
        <v>0.4494351423</v>
      </c>
      <c r="O18" s="66" t="s">
        <v>150</v>
      </c>
    </row>
    <row r="19" ht="16.5" customHeight="1">
      <c r="A19" s="1"/>
      <c r="B19" s="67" t="s">
        <v>161</v>
      </c>
      <c r="C19" s="68">
        <f>MAX(0,C5*'⚙️ Допущения'!C40)</f>
        <v>90000</v>
      </c>
      <c r="D19" s="68">
        <f>MAX(0,D5*'⚙️ Допущения'!C40)</f>
        <v>94500</v>
      </c>
      <c r="E19" s="68">
        <f>MAX(0,E5*'⚙️ Допущения'!C40)</f>
        <v>99300</v>
      </c>
      <c r="F19" s="68">
        <f>MAX(0,F5*'⚙️ Допущения'!C40)</f>
        <v>104400</v>
      </c>
      <c r="G19" s="68">
        <f>MAX(0,G5*'⚙️ Допущения'!C40)</f>
        <v>109500</v>
      </c>
      <c r="H19" s="68">
        <f>MAX(0,H5*'⚙️ Допущения'!C40)</f>
        <v>114900</v>
      </c>
      <c r="I19" s="68">
        <f>MAX(0,I5*'⚙️ Допущения'!C40)</f>
        <v>120600</v>
      </c>
      <c r="J19" s="68">
        <f>MAX(0,J5*'⚙️ Допущения'!C40)</f>
        <v>126600</v>
      </c>
      <c r="K19" s="68">
        <f>MAX(0,K5*'⚙️ Допущения'!C40)</f>
        <v>132900</v>
      </c>
      <c r="L19" s="68">
        <f>MAX(0,L5*'⚙️ Допущения'!C40)</f>
        <v>139500</v>
      </c>
      <c r="M19" s="68">
        <f>MAX(0,M5*'⚙️ Допущения'!C40)</f>
        <v>146400</v>
      </c>
      <c r="N19" s="68">
        <f>MAX(0,N5*'⚙️ Допущения'!C40)</f>
        <v>153600</v>
      </c>
      <c r="O19" s="69">
        <f t="shared" ref="O19:O20" si="8">SUM(C19:N19)</f>
        <v>1432200</v>
      </c>
    </row>
    <row r="20" ht="16.5" customHeight="1">
      <c r="A20" s="1"/>
      <c r="B20" s="52" t="s">
        <v>162</v>
      </c>
      <c r="C20" s="53">
        <f t="shared" ref="C20:N20" si="7">C17-C19</f>
        <v>500000</v>
      </c>
      <c r="D20" s="53">
        <f t="shared" si="7"/>
        <v>534300</v>
      </c>
      <c r="E20" s="53">
        <f t="shared" si="7"/>
        <v>571176</v>
      </c>
      <c r="F20" s="53">
        <f t="shared" si="7"/>
        <v>610625.52</v>
      </c>
      <c r="G20" s="53">
        <f t="shared" si="7"/>
        <v>649946.0304</v>
      </c>
      <c r="H20" s="53">
        <f t="shared" si="7"/>
        <v>691834.951</v>
      </c>
      <c r="I20" s="53">
        <f t="shared" si="7"/>
        <v>736289.65</v>
      </c>
      <c r="J20" s="53">
        <f t="shared" si="7"/>
        <v>783307.443</v>
      </c>
      <c r="K20" s="53">
        <f t="shared" si="7"/>
        <v>832885.5919</v>
      </c>
      <c r="L20" s="53">
        <f t="shared" si="7"/>
        <v>885021.3037</v>
      </c>
      <c r="M20" s="53">
        <f t="shared" si="7"/>
        <v>939711.7298</v>
      </c>
      <c r="N20" s="53">
        <f t="shared" si="7"/>
        <v>996953.9644</v>
      </c>
      <c r="O20" s="62">
        <f t="shared" si="8"/>
        <v>8732052.184</v>
      </c>
    </row>
    <row r="21" ht="16.5" customHeight="1">
      <c r="A21" s="1"/>
      <c r="B21" s="42" t="s">
        <v>163</v>
      </c>
      <c r="C21" s="65">
        <f t="shared" ref="C21:N21" si="9">IFERROR(C20/C5,0)</f>
        <v>0.3333333333</v>
      </c>
      <c r="D21" s="65">
        <f t="shared" si="9"/>
        <v>0.3392380952</v>
      </c>
      <c r="E21" s="65">
        <f t="shared" si="9"/>
        <v>0.3451214502</v>
      </c>
      <c r="F21" s="65">
        <f t="shared" si="9"/>
        <v>0.3509342069</v>
      </c>
      <c r="G21" s="65">
        <f t="shared" si="9"/>
        <v>0.3561348112</v>
      </c>
      <c r="H21" s="65">
        <f t="shared" si="9"/>
        <v>0.3612715149</v>
      </c>
      <c r="I21" s="65">
        <f t="shared" si="9"/>
        <v>0.3663132587</v>
      </c>
      <c r="J21" s="65">
        <f t="shared" si="9"/>
        <v>0.371235755</v>
      </c>
      <c r="K21" s="65">
        <f t="shared" si="9"/>
        <v>0.3760205832</v>
      </c>
      <c r="L21" s="65">
        <f t="shared" si="9"/>
        <v>0.3806543242</v>
      </c>
      <c r="M21" s="65">
        <f t="shared" si="9"/>
        <v>0.3851277581</v>
      </c>
      <c r="N21" s="65">
        <f t="shared" si="9"/>
        <v>0.3894351423</v>
      </c>
      <c r="O21" s="66" t="s">
        <v>150</v>
      </c>
    </row>
    <row r="22" ht="15.0" customHeight="1">
      <c r="A22" s="1"/>
      <c r="B22" s="70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1">
    <mergeCell ref="B2:O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14" width="12.0"/>
    <col customWidth="1" min="15" max="15" width="14.0"/>
    <col customWidth="1" min="16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7.75" customHeight="1">
      <c r="A2" s="1"/>
      <c r="B2" s="39" t="s">
        <v>164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ht="15.0" customHeight="1">
      <c r="A3" s="1"/>
      <c r="B3" s="71" t="s">
        <v>165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1.75" customHeight="1">
      <c r="A5" s="1"/>
      <c r="B5" s="40" t="s">
        <v>113</v>
      </c>
      <c r="C5" s="41" t="s">
        <v>114</v>
      </c>
      <c r="D5" s="41" t="s">
        <v>115</v>
      </c>
      <c r="E5" s="41" t="s">
        <v>116</v>
      </c>
      <c r="F5" s="41" t="s">
        <v>117</v>
      </c>
      <c r="G5" s="41" t="s">
        <v>118</v>
      </c>
      <c r="H5" s="41" t="s">
        <v>119</v>
      </c>
      <c r="I5" s="41" t="s">
        <v>120</v>
      </c>
      <c r="J5" s="41" t="s">
        <v>121</v>
      </c>
      <c r="K5" s="41" t="s">
        <v>122</v>
      </c>
      <c r="L5" s="41" t="s">
        <v>123</v>
      </c>
      <c r="M5" s="41" t="s">
        <v>124</v>
      </c>
      <c r="N5" s="41" t="s">
        <v>125</v>
      </c>
      <c r="O5" s="41" t="s">
        <v>126</v>
      </c>
    </row>
    <row r="6" ht="16.5" customHeight="1">
      <c r="A6" s="1"/>
      <c r="B6" s="52" t="s">
        <v>166</v>
      </c>
      <c r="C6" s="53">
        <f>'⚙️ Допущения'!C45</f>
        <v>500000</v>
      </c>
      <c r="D6" s="53">
        <f t="shared" ref="D6:N6" si="1">C25</f>
        <v>880000</v>
      </c>
      <c r="E6" s="53">
        <f t="shared" si="1"/>
        <v>1445800</v>
      </c>
      <c r="F6" s="53">
        <f t="shared" si="1"/>
        <v>2050076</v>
      </c>
      <c r="G6" s="53">
        <f t="shared" si="1"/>
        <v>2695501.52</v>
      </c>
      <c r="H6" s="53">
        <f t="shared" si="1"/>
        <v>3381947.55</v>
      </c>
      <c r="I6" s="53">
        <f t="shared" si="1"/>
        <v>4112082.501</v>
      </c>
      <c r="J6" s="53">
        <f t="shared" si="1"/>
        <v>4888572.151</v>
      </c>
      <c r="K6" s="53">
        <f t="shared" si="1"/>
        <v>5714079.594</v>
      </c>
      <c r="L6" s="53">
        <f t="shared" si="1"/>
        <v>6591265.186</v>
      </c>
      <c r="M6" s="53">
        <f t="shared" si="1"/>
        <v>7522786.49</v>
      </c>
      <c r="N6" s="53">
        <f t="shared" si="1"/>
        <v>8511298.22</v>
      </c>
      <c r="O6" s="1"/>
    </row>
    <row r="7" ht="16.5" customHeight="1">
      <c r="A7" s="1"/>
      <c r="B7" s="72" t="s">
        <v>167</v>
      </c>
      <c r="C7" s="73">
        <f t="shared" ref="C7:N7" si="2">C8</f>
        <v>1500000</v>
      </c>
      <c r="D7" s="73">
        <f t="shared" si="2"/>
        <v>1575000</v>
      </c>
      <c r="E7" s="73">
        <f t="shared" si="2"/>
        <v>1655000</v>
      </c>
      <c r="F7" s="73">
        <f t="shared" si="2"/>
        <v>1740000</v>
      </c>
      <c r="G7" s="73">
        <f t="shared" si="2"/>
        <v>1825000</v>
      </c>
      <c r="H7" s="73">
        <f t="shared" si="2"/>
        <v>1915000</v>
      </c>
      <c r="I7" s="73">
        <f t="shared" si="2"/>
        <v>2010000</v>
      </c>
      <c r="J7" s="73">
        <f t="shared" si="2"/>
        <v>2110000</v>
      </c>
      <c r="K7" s="73">
        <f t="shared" si="2"/>
        <v>2215000</v>
      </c>
      <c r="L7" s="73">
        <f t="shared" si="2"/>
        <v>2325000</v>
      </c>
      <c r="M7" s="73">
        <f t="shared" si="2"/>
        <v>2440000</v>
      </c>
      <c r="N7" s="73">
        <f t="shared" si="2"/>
        <v>2560000</v>
      </c>
      <c r="O7" s="74">
        <f>SUM(C7:N7)</f>
        <v>23870000</v>
      </c>
    </row>
    <row r="8" ht="16.5" customHeight="1">
      <c r="A8" s="1"/>
      <c r="B8" s="75" t="s">
        <v>168</v>
      </c>
      <c r="C8" s="76">
        <f>'📈 Выручка'!C18</f>
        <v>1500000</v>
      </c>
      <c r="D8" s="76">
        <f>'📈 Выручка'!D18</f>
        <v>1575000</v>
      </c>
      <c r="E8" s="76">
        <f>'📈 Выручка'!E18</f>
        <v>1655000</v>
      </c>
      <c r="F8" s="76">
        <f>'📈 Выручка'!F18</f>
        <v>1740000</v>
      </c>
      <c r="G8" s="76">
        <f>'📈 Выручка'!G18</f>
        <v>1825000</v>
      </c>
      <c r="H8" s="76">
        <f>'📈 Выручка'!H18</f>
        <v>1915000</v>
      </c>
      <c r="I8" s="76">
        <f>'📈 Выручка'!I18</f>
        <v>2010000</v>
      </c>
      <c r="J8" s="76">
        <f>'📈 Выручка'!J18</f>
        <v>2110000</v>
      </c>
      <c r="K8" s="76">
        <f>'📈 Выручка'!K18</f>
        <v>2215000</v>
      </c>
      <c r="L8" s="76">
        <f>'📈 Выручка'!L18</f>
        <v>2325000</v>
      </c>
      <c r="M8" s="76">
        <f>'📈 Выручка'!M18</f>
        <v>2440000</v>
      </c>
      <c r="N8" s="76">
        <f>'📈 Выручка'!N18</f>
        <v>2560000</v>
      </c>
      <c r="O8" s="1"/>
    </row>
    <row r="9" ht="16.5" customHeight="1">
      <c r="A9" s="1"/>
      <c r="B9" s="77" t="s">
        <v>169</v>
      </c>
      <c r="C9" s="78">
        <f t="shared" ref="C9:N9" si="3">SUM(C10:C16)</f>
        <v>970000</v>
      </c>
      <c r="D9" s="78">
        <f t="shared" si="3"/>
        <v>1009200</v>
      </c>
      <c r="E9" s="78">
        <f t="shared" si="3"/>
        <v>1050724</v>
      </c>
      <c r="F9" s="78">
        <f t="shared" si="3"/>
        <v>1094574.48</v>
      </c>
      <c r="G9" s="78">
        <f t="shared" si="3"/>
        <v>1138553.97</v>
      </c>
      <c r="H9" s="78">
        <f t="shared" si="3"/>
        <v>1184865.049</v>
      </c>
      <c r="I9" s="78">
        <f t="shared" si="3"/>
        <v>1233510.35</v>
      </c>
      <c r="J9" s="78">
        <f t="shared" si="3"/>
        <v>1284492.557</v>
      </c>
      <c r="K9" s="78">
        <f t="shared" si="3"/>
        <v>1337814.408</v>
      </c>
      <c r="L9" s="78">
        <f t="shared" si="3"/>
        <v>1393478.696</v>
      </c>
      <c r="M9" s="78">
        <f t="shared" si="3"/>
        <v>1451488.27</v>
      </c>
      <c r="N9" s="78">
        <f t="shared" si="3"/>
        <v>1511846.036</v>
      </c>
      <c r="O9" s="74">
        <f>SUM(C9:N9)</f>
        <v>14660547.82</v>
      </c>
    </row>
    <row r="10" ht="16.5" customHeight="1">
      <c r="A10" s="1"/>
      <c r="B10" s="79" t="s">
        <v>170</v>
      </c>
      <c r="C10" s="80">
        <f>'💸 Расходы'!C18</f>
        <v>450000</v>
      </c>
      <c r="D10" s="80">
        <f>'💸 Расходы'!D18</f>
        <v>472500</v>
      </c>
      <c r="E10" s="80">
        <f>'💸 Расходы'!E18</f>
        <v>496500</v>
      </c>
      <c r="F10" s="80">
        <f>'💸 Расходы'!F18</f>
        <v>522000</v>
      </c>
      <c r="G10" s="80">
        <f>'💸 Расходы'!G18</f>
        <v>547500</v>
      </c>
      <c r="H10" s="80">
        <f>'💸 Расходы'!H18</f>
        <v>574500</v>
      </c>
      <c r="I10" s="80">
        <f>'💸 Расходы'!I18</f>
        <v>603000</v>
      </c>
      <c r="J10" s="80">
        <f>'💸 Расходы'!J18</f>
        <v>633000</v>
      </c>
      <c r="K10" s="80">
        <f>'💸 Расходы'!K18</f>
        <v>664500</v>
      </c>
      <c r="L10" s="80">
        <f>'💸 Расходы'!L18</f>
        <v>697500</v>
      </c>
      <c r="M10" s="80">
        <f>'💸 Расходы'!M18</f>
        <v>732000</v>
      </c>
      <c r="N10" s="80">
        <f>'💸 Расходы'!N18</f>
        <v>768000</v>
      </c>
      <c r="O10" s="1"/>
    </row>
    <row r="11" ht="16.5" customHeight="1">
      <c r="A11" s="1"/>
      <c r="B11" s="79" t="s">
        <v>154</v>
      </c>
      <c r="C11" s="80">
        <f>'💸 Расходы'!C7</f>
        <v>50000</v>
      </c>
      <c r="D11" s="80">
        <f>'💸 Расходы'!D7</f>
        <v>51000</v>
      </c>
      <c r="E11" s="80">
        <f>'💸 Расходы'!E7</f>
        <v>52020</v>
      </c>
      <c r="F11" s="80">
        <f>'💸 Расходы'!F7</f>
        <v>53060.4</v>
      </c>
      <c r="G11" s="80">
        <f>'💸 Расходы'!G7</f>
        <v>54121.608</v>
      </c>
      <c r="H11" s="80">
        <f>'💸 Расходы'!H7</f>
        <v>55204.04016</v>
      </c>
      <c r="I11" s="80">
        <f>'💸 Расходы'!I7</f>
        <v>56308.12096</v>
      </c>
      <c r="J11" s="80">
        <f>'💸 Расходы'!J7</f>
        <v>57434.28338</v>
      </c>
      <c r="K11" s="80">
        <f>'💸 Расходы'!K7</f>
        <v>58582.96905</v>
      </c>
      <c r="L11" s="80">
        <f>'💸 Расходы'!L7</f>
        <v>59754.62843</v>
      </c>
      <c r="M11" s="80">
        <f>'💸 Расходы'!M7</f>
        <v>60949.721</v>
      </c>
      <c r="N11" s="80">
        <f>'💸 Расходы'!N7</f>
        <v>62168.71542</v>
      </c>
      <c r="O11" s="1"/>
    </row>
    <row r="12" ht="16.5" customHeight="1">
      <c r="A12" s="1"/>
      <c r="B12" s="79" t="s">
        <v>155</v>
      </c>
      <c r="C12" s="80">
        <f>'💸 Расходы'!C8</f>
        <v>200000</v>
      </c>
      <c r="D12" s="80">
        <f>'💸 Расходы'!D8</f>
        <v>204000</v>
      </c>
      <c r="E12" s="80">
        <f>'💸 Расходы'!E8</f>
        <v>208080</v>
      </c>
      <c r="F12" s="80">
        <f>'💸 Расходы'!F8</f>
        <v>212241.6</v>
      </c>
      <c r="G12" s="80">
        <f>'💸 Расходы'!G8</f>
        <v>216486.432</v>
      </c>
      <c r="H12" s="80">
        <f>'💸 Расходы'!H8</f>
        <v>220816.1606</v>
      </c>
      <c r="I12" s="80">
        <f>'💸 Расходы'!I8</f>
        <v>225232.4839</v>
      </c>
      <c r="J12" s="80">
        <f>'💸 Расходы'!J8</f>
        <v>229737.1335</v>
      </c>
      <c r="K12" s="80">
        <f>'💸 Расходы'!K8</f>
        <v>234331.8762</v>
      </c>
      <c r="L12" s="80">
        <f>'💸 Расходы'!L8</f>
        <v>239018.5137</v>
      </c>
      <c r="M12" s="80">
        <f>'💸 Расходы'!M8</f>
        <v>243798.884</v>
      </c>
      <c r="N12" s="80">
        <f>'💸 Расходы'!N8</f>
        <v>248674.8617</v>
      </c>
      <c r="O12" s="1"/>
    </row>
    <row r="13" ht="16.5" customHeight="1">
      <c r="A13" s="1"/>
      <c r="B13" s="79" t="s">
        <v>171</v>
      </c>
      <c r="C13" s="80">
        <f>'💸 Расходы'!C9+'💸 Расходы'!C20</f>
        <v>105000</v>
      </c>
      <c r="D13" s="80">
        <f>'💸 Расходы'!D9+'💸 Расходы'!D20</f>
        <v>109350</v>
      </c>
      <c r="E13" s="80">
        <f>'💸 Расходы'!E9+'💸 Расходы'!E20</f>
        <v>113962</v>
      </c>
      <c r="F13" s="80">
        <f>'💸 Расходы'!F9+'💸 Расходы'!F20</f>
        <v>118836.24</v>
      </c>
      <c r="G13" s="80">
        <f>'💸 Расходы'!G9+'💸 Расходы'!G20</f>
        <v>123722.9648</v>
      </c>
      <c r="H13" s="80">
        <f>'💸 Расходы'!H9+'💸 Расходы'!H20</f>
        <v>128872.4241</v>
      </c>
      <c r="I13" s="80">
        <f>'💸 Расходы'!I9+'💸 Расходы'!I20</f>
        <v>134284.8726</v>
      </c>
      <c r="J13" s="80">
        <f>'💸 Расходы'!J9+'💸 Расходы'!J20</f>
        <v>139960.57</v>
      </c>
      <c r="K13" s="80">
        <f>'💸 Расходы'!K9+'💸 Расходы'!K20</f>
        <v>145899.7814</v>
      </c>
      <c r="L13" s="80">
        <f>'💸 Расходы'!L9+'💸 Расходы'!L20</f>
        <v>152102.7771</v>
      </c>
      <c r="M13" s="80">
        <f>'💸 Расходы'!M9+'💸 Расходы'!M20</f>
        <v>158569.8326</v>
      </c>
      <c r="N13" s="80">
        <f>'💸 Расходы'!N9+'💸 Расходы'!N20</f>
        <v>165301.2293</v>
      </c>
      <c r="O13" s="1"/>
    </row>
    <row r="14" ht="16.5" customHeight="1">
      <c r="A14" s="1"/>
      <c r="B14" s="79" t="s">
        <v>157</v>
      </c>
      <c r="C14" s="80">
        <f>'💸 Расходы'!C10</f>
        <v>10000</v>
      </c>
      <c r="D14" s="80">
        <f>'💸 Расходы'!D10</f>
        <v>10200</v>
      </c>
      <c r="E14" s="80">
        <f>'💸 Расходы'!E10</f>
        <v>10404</v>
      </c>
      <c r="F14" s="80">
        <f>'💸 Расходы'!F10</f>
        <v>10612.08</v>
      </c>
      <c r="G14" s="80">
        <f>'💸 Расходы'!G10</f>
        <v>10824.3216</v>
      </c>
      <c r="H14" s="80">
        <f>'💸 Расходы'!H10</f>
        <v>11040.80803</v>
      </c>
      <c r="I14" s="80">
        <f>'💸 Расходы'!I10</f>
        <v>11261.62419</v>
      </c>
      <c r="J14" s="80">
        <f>'💸 Расходы'!J10</f>
        <v>11486.85668</v>
      </c>
      <c r="K14" s="80">
        <f>'💸 Расходы'!K10</f>
        <v>11716.59381</v>
      </c>
      <c r="L14" s="80">
        <f>'💸 Расходы'!L10</f>
        <v>11950.92569</v>
      </c>
      <c r="M14" s="80">
        <f>'💸 Расходы'!M10</f>
        <v>12189.9442</v>
      </c>
      <c r="N14" s="80">
        <f>'💸 Расходы'!N10</f>
        <v>12433.74308</v>
      </c>
      <c r="O14" s="1"/>
    </row>
    <row r="15" ht="16.5" customHeight="1">
      <c r="A15" s="1"/>
      <c r="B15" s="79" t="s">
        <v>172</v>
      </c>
      <c r="C15" s="80">
        <f>'💸 Расходы'!C11+'💸 Расходы'!C21</f>
        <v>65000</v>
      </c>
      <c r="D15" s="80">
        <f>'💸 Расходы'!D11+'💸 Расходы'!D21</f>
        <v>67650</v>
      </c>
      <c r="E15" s="80">
        <f>'💸 Расходы'!E11+'💸 Расходы'!E21</f>
        <v>70458</v>
      </c>
      <c r="F15" s="80">
        <f>'💸 Расходы'!F11+'💸 Расходы'!F21</f>
        <v>73424.16</v>
      </c>
      <c r="G15" s="80">
        <f>'💸 Расходы'!G11+'💸 Расходы'!G21</f>
        <v>76398.6432</v>
      </c>
      <c r="H15" s="80">
        <f>'💸 Расходы'!H11+'💸 Расходы'!H21</f>
        <v>79531.61606</v>
      </c>
      <c r="I15" s="80">
        <f>'💸 Расходы'!I11+'💸 Расходы'!I21</f>
        <v>82823.24839</v>
      </c>
      <c r="J15" s="80">
        <f>'💸 Расходы'!J11+'💸 Расходы'!J21</f>
        <v>86273.71335</v>
      </c>
      <c r="K15" s="80">
        <f>'💸 Расходы'!K11+'💸 Расходы'!K21</f>
        <v>89883.18762</v>
      </c>
      <c r="L15" s="80">
        <f>'💸 Расходы'!L11+'💸 Расходы'!L21</f>
        <v>93651.85137</v>
      </c>
      <c r="M15" s="80">
        <f>'💸 Расходы'!M11+'💸 Расходы'!M21</f>
        <v>97579.8884</v>
      </c>
      <c r="N15" s="80">
        <f>'💸 Расходы'!N11+'💸 Расходы'!N21</f>
        <v>101667.4862</v>
      </c>
      <c r="O15" s="1"/>
    </row>
    <row r="16" ht="16.5" customHeight="1">
      <c r="A16" s="1"/>
      <c r="B16" s="79" t="s">
        <v>173</v>
      </c>
      <c r="C16" s="80">
        <f>'📊 ОПУ'!C19</f>
        <v>90000</v>
      </c>
      <c r="D16" s="80">
        <f>'📊 ОПУ'!D19</f>
        <v>94500</v>
      </c>
      <c r="E16" s="80">
        <f>'📊 ОПУ'!E19</f>
        <v>99300</v>
      </c>
      <c r="F16" s="80">
        <f>'📊 ОПУ'!F19</f>
        <v>104400</v>
      </c>
      <c r="G16" s="80">
        <f>'📊 ОПУ'!G19</f>
        <v>109500</v>
      </c>
      <c r="H16" s="80">
        <f>'📊 ОПУ'!H19</f>
        <v>114900</v>
      </c>
      <c r="I16" s="80">
        <f>'📊 ОПУ'!I19</f>
        <v>120600</v>
      </c>
      <c r="J16" s="80">
        <f>'📊 ОПУ'!J19</f>
        <v>126600</v>
      </c>
      <c r="K16" s="80">
        <f>'📊 ОПУ'!K19</f>
        <v>132900</v>
      </c>
      <c r="L16" s="80">
        <f>'📊 ОПУ'!L19</f>
        <v>139500</v>
      </c>
      <c r="M16" s="80">
        <f>'📊 ОПУ'!M19</f>
        <v>146400</v>
      </c>
      <c r="N16" s="80">
        <f>'📊 ОПУ'!N19</f>
        <v>153600</v>
      </c>
      <c r="O16" s="1"/>
    </row>
    <row r="17" ht="16.5" customHeight="1">
      <c r="A17" s="1"/>
      <c r="B17" s="45" t="s">
        <v>174</v>
      </c>
      <c r="C17" s="59">
        <f t="shared" ref="C17:N17" si="4">C7-C9</f>
        <v>530000</v>
      </c>
      <c r="D17" s="59">
        <f t="shared" si="4"/>
        <v>565800</v>
      </c>
      <c r="E17" s="59">
        <f t="shared" si="4"/>
        <v>604276</v>
      </c>
      <c r="F17" s="59">
        <f t="shared" si="4"/>
        <v>645425.52</v>
      </c>
      <c r="G17" s="59">
        <f t="shared" si="4"/>
        <v>686446.0304</v>
      </c>
      <c r="H17" s="59">
        <f t="shared" si="4"/>
        <v>730134.951</v>
      </c>
      <c r="I17" s="59">
        <f t="shared" si="4"/>
        <v>776489.65</v>
      </c>
      <c r="J17" s="59">
        <f t="shared" si="4"/>
        <v>825507.443</v>
      </c>
      <c r="K17" s="59">
        <f t="shared" si="4"/>
        <v>877185.5919</v>
      </c>
      <c r="L17" s="59">
        <f t="shared" si="4"/>
        <v>931521.3037</v>
      </c>
      <c r="M17" s="59">
        <f t="shared" si="4"/>
        <v>988511.7298</v>
      </c>
      <c r="N17" s="59">
        <f t="shared" si="4"/>
        <v>1048153.964</v>
      </c>
      <c r="O17" s="74">
        <f t="shared" ref="O17:O18" si="6">SUM(C17:N17)</f>
        <v>9209452.184</v>
      </c>
    </row>
    <row r="18" ht="16.5" customHeight="1">
      <c r="A18" s="1"/>
      <c r="B18" s="50" t="s">
        <v>175</v>
      </c>
      <c r="C18" s="58">
        <f t="shared" ref="C18:N18" si="5">-C19-C20</f>
        <v>-150000</v>
      </c>
      <c r="D18" s="58">
        <f t="shared" si="5"/>
        <v>0</v>
      </c>
      <c r="E18" s="58">
        <f t="shared" si="5"/>
        <v>0</v>
      </c>
      <c r="F18" s="58">
        <f t="shared" si="5"/>
        <v>0</v>
      </c>
      <c r="G18" s="58">
        <f t="shared" si="5"/>
        <v>0</v>
      </c>
      <c r="H18" s="58">
        <f t="shared" si="5"/>
        <v>0</v>
      </c>
      <c r="I18" s="58">
        <f t="shared" si="5"/>
        <v>0</v>
      </c>
      <c r="J18" s="58">
        <f t="shared" si="5"/>
        <v>0</v>
      </c>
      <c r="K18" s="58">
        <f t="shared" si="5"/>
        <v>0</v>
      </c>
      <c r="L18" s="58">
        <f t="shared" si="5"/>
        <v>0</v>
      </c>
      <c r="M18" s="58">
        <f t="shared" si="5"/>
        <v>0</v>
      </c>
      <c r="N18" s="58">
        <f t="shared" si="5"/>
        <v>0</v>
      </c>
      <c r="O18" s="74">
        <f t="shared" si="6"/>
        <v>-150000</v>
      </c>
    </row>
    <row r="19" ht="16.5" customHeight="1">
      <c r="A19" s="1"/>
      <c r="B19" s="81" t="s">
        <v>176</v>
      </c>
      <c r="C19" s="82">
        <f>'⚙️ Допущения'!C46+'⚙️ Допущения'!C47</f>
        <v>150000</v>
      </c>
      <c r="D19" s="82" t="s">
        <v>177</v>
      </c>
      <c r="E19" s="82" t="s">
        <v>177</v>
      </c>
      <c r="F19" s="82" t="s">
        <v>177</v>
      </c>
      <c r="G19" s="82" t="s">
        <v>177</v>
      </c>
      <c r="H19" s="82" t="s">
        <v>177</v>
      </c>
      <c r="I19" s="82" t="s">
        <v>177</v>
      </c>
      <c r="J19" s="82" t="s">
        <v>177</v>
      </c>
      <c r="K19" s="82" t="s">
        <v>177</v>
      </c>
      <c r="L19" s="82" t="s">
        <v>177</v>
      </c>
      <c r="M19" s="82" t="s">
        <v>177</v>
      </c>
      <c r="N19" s="82" t="s">
        <v>177</v>
      </c>
      <c r="O19" s="1"/>
    </row>
    <row r="20" ht="16.5" customHeight="1">
      <c r="A20" s="1"/>
      <c r="B20" s="81" t="s">
        <v>178</v>
      </c>
      <c r="C20" s="82" t="s">
        <v>177</v>
      </c>
      <c r="D20" s="82" t="s">
        <v>177</v>
      </c>
      <c r="E20" s="82" t="s">
        <v>177</v>
      </c>
      <c r="F20" s="82" t="s">
        <v>177</v>
      </c>
      <c r="G20" s="82" t="s">
        <v>177</v>
      </c>
      <c r="H20" s="82" t="s">
        <v>177</v>
      </c>
      <c r="I20" s="82" t="s">
        <v>177</v>
      </c>
      <c r="J20" s="82" t="s">
        <v>177</v>
      </c>
      <c r="K20" s="82" t="s">
        <v>177</v>
      </c>
      <c r="L20" s="82" t="s">
        <v>177</v>
      </c>
      <c r="M20" s="82" t="s">
        <v>177</v>
      </c>
      <c r="N20" s="82" t="s">
        <v>177</v>
      </c>
      <c r="O20" s="1"/>
    </row>
    <row r="21" ht="16.5" customHeight="1">
      <c r="A21" s="1"/>
      <c r="B21" s="83" t="s">
        <v>179</v>
      </c>
      <c r="C21" s="84">
        <f t="shared" ref="C21:N21" si="7">C22-C23</f>
        <v>0</v>
      </c>
      <c r="D21" s="84">
        <f t="shared" si="7"/>
        <v>0</v>
      </c>
      <c r="E21" s="84">
        <f t="shared" si="7"/>
        <v>0</v>
      </c>
      <c r="F21" s="84">
        <f t="shared" si="7"/>
        <v>0</v>
      </c>
      <c r="G21" s="84">
        <f t="shared" si="7"/>
        <v>0</v>
      </c>
      <c r="H21" s="84">
        <f t="shared" si="7"/>
        <v>0</v>
      </c>
      <c r="I21" s="84">
        <f t="shared" si="7"/>
        <v>0</v>
      </c>
      <c r="J21" s="84">
        <f t="shared" si="7"/>
        <v>0</v>
      </c>
      <c r="K21" s="84">
        <f t="shared" si="7"/>
        <v>0</v>
      </c>
      <c r="L21" s="84">
        <f t="shared" si="7"/>
        <v>0</v>
      </c>
      <c r="M21" s="84">
        <f t="shared" si="7"/>
        <v>0</v>
      </c>
      <c r="N21" s="84">
        <f t="shared" si="7"/>
        <v>0</v>
      </c>
      <c r="O21" s="74">
        <f>SUM(C21:N21)</f>
        <v>0</v>
      </c>
    </row>
    <row r="22" ht="16.5" customHeight="1">
      <c r="A22" s="1"/>
      <c r="B22" s="85" t="s">
        <v>180</v>
      </c>
      <c r="C22" s="86" t="s">
        <v>177</v>
      </c>
      <c r="D22" s="86" t="s">
        <v>177</v>
      </c>
      <c r="E22" s="86" t="s">
        <v>177</v>
      </c>
      <c r="F22" s="86" t="s">
        <v>177</v>
      </c>
      <c r="G22" s="86" t="s">
        <v>177</v>
      </c>
      <c r="H22" s="86" t="s">
        <v>177</v>
      </c>
      <c r="I22" s="86" t="s">
        <v>177</v>
      </c>
      <c r="J22" s="86" t="s">
        <v>177</v>
      </c>
      <c r="K22" s="86" t="s">
        <v>177</v>
      </c>
      <c r="L22" s="86" t="s">
        <v>177</v>
      </c>
      <c r="M22" s="86" t="s">
        <v>177</v>
      </c>
      <c r="N22" s="86" t="s">
        <v>177</v>
      </c>
      <c r="O22" s="1"/>
    </row>
    <row r="23" ht="16.5" customHeight="1">
      <c r="A23" s="1"/>
      <c r="B23" s="85" t="s">
        <v>181</v>
      </c>
      <c r="C23" s="86" t="s">
        <v>177</v>
      </c>
      <c r="D23" s="86" t="s">
        <v>177</v>
      </c>
      <c r="E23" s="86" t="s">
        <v>177</v>
      </c>
      <c r="F23" s="86" t="s">
        <v>177</v>
      </c>
      <c r="G23" s="86" t="s">
        <v>177</v>
      </c>
      <c r="H23" s="86" t="s">
        <v>177</v>
      </c>
      <c r="I23" s="86" t="s">
        <v>177</v>
      </c>
      <c r="J23" s="86" t="s">
        <v>177</v>
      </c>
      <c r="K23" s="86" t="s">
        <v>177</v>
      </c>
      <c r="L23" s="86" t="s">
        <v>177</v>
      </c>
      <c r="M23" s="86" t="s">
        <v>177</v>
      </c>
      <c r="N23" s="86" t="s">
        <v>177</v>
      </c>
      <c r="O23" s="1"/>
    </row>
    <row r="24" ht="16.5" customHeight="1">
      <c r="A24" s="1"/>
      <c r="B24" s="52" t="s">
        <v>182</v>
      </c>
      <c r="C24" s="53">
        <f t="shared" ref="C24:N24" si="8">C17+C18+C21</f>
        <v>380000</v>
      </c>
      <c r="D24" s="53">
        <f t="shared" si="8"/>
        <v>565800</v>
      </c>
      <c r="E24" s="53">
        <f t="shared" si="8"/>
        <v>604276</v>
      </c>
      <c r="F24" s="53">
        <f t="shared" si="8"/>
        <v>645425.52</v>
      </c>
      <c r="G24" s="53">
        <f t="shared" si="8"/>
        <v>686446.0304</v>
      </c>
      <c r="H24" s="53">
        <f t="shared" si="8"/>
        <v>730134.951</v>
      </c>
      <c r="I24" s="53">
        <f t="shared" si="8"/>
        <v>776489.65</v>
      </c>
      <c r="J24" s="53">
        <f t="shared" si="8"/>
        <v>825507.443</v>
      </c>
      <c r="K24" s="53">
        <f t="shared" si="8"/>
        <v>877185.5919</v>
      </c>
      <c r="L24" s="53">
        <f t="shared" si="8"/>
        <v>931521.3037</v>
      </c>
      <c r="M24" s="53">
        <f t="shared" si="8"/>
        <v>988511.7298</v>
      </c>
      <c r="N24" s="53">
        <f t="shared" si="8"/>
        <v>1048153.964</v>
      </c>
      <c r="O24" s="74">
        <f>SUM(C24:N24)</f>
        <v>9059452.184</v>
      </c>
    </row>
    <row r="25" ht="16.5" customHeight="1">
      <c r="A25" s="1"/>
      <c r="B25" s="52" t="s">
        <v>183</v>
      </c>
      <c r="C25" s="53">
        <f t="shared" ref="C25:N25" si="9">C6+C24</f>
        <v>880000</v>
      </c>
      <c r="D25" s="53">
        <f t="shared" si="9"/>
        <v>1445800</v>
      </c>
      <c r="E25" s="53">
        <f t="shared" si="9"/>
        <v>2050076</v>
      </c>
      <c r="F25" s="53">
        <f t="shared" si="9"/>
        <v>2695501.52</v>
      </c>
      <c r="G25" s="53">
        <f t="shared" si="9"/>
        <v>3381947.55</v>
      </c>
      <c r="H25" s="53">
        <f t="shared" si="9"/>
        <v>4112082.501</v>
      </c>
      <c r="I25" s="53">
        <f t="shared" si="9"/>
        <v>4888572.151</v>
      </c>
      <c r="J25" s="53">
        <f t="shared" si="9"/>
        <v>5714079.594</v>
      </c>
      <c r="K25" s="53">
        <f t="shared" si="9"/>
        <v>6591265.186</v>
      </c>
      <c r="L25" s="53">
        <f t="shared" si="9"/>
        <v>7522786.49</v>
      </c>
      <c r="M25" s="53">
        <f t="shared" si="9"/>
        <v>8511298.22</v>
      </c>
      <c r="N25" s="53">
        <f t="shared" si="9"/>
        <v>9559452.184</v>
      </c>
      <c r="O25" s="1"/>
    </row>
    <row r="26" ht="16.5" customHeight="1">
      <c r="A26" s="1"/>
      <c r="B26" s="42" t="s">
        <v>184</v>
      </c>
      <c r="C26" s="87" t="str">
        <f t="shared" ref="C26:N26" si="10">IF(C25&lt;0,"⚠️ РАЗРЫВ!","")</f>
        <v/>
      </c>
      <c r="D26" s="87" t="str">
        <f t="shared" si="10"/>
        <v/>
      </c>
      <c r="E26" s="87" t="str">
        <f t="shared" si="10"/>
        <v/>
      </c>
      <c r="F26" s="87" t="str">
        <f t="shared" si="10"/>
        <v/>
      </c>
      <c r="G26" s="87" t="str">
        <f t="shared" si="10"/>
        <v/>
      </c>
      <c r="H26" s="87" t="str">
        <f t="shared" si="10"/>
        <v/>
      </c>
      <c r="I26" s="87" t="str">
        <f t="shared" si="10"/>
        <v/>
      </c>
      <c r="J26" s="87" t="str">
        <f t="shared" si="10"/>
        <v/>
      </c>
      <c r="K26" s="87" t="str">
        <f t="shared" si="10"/>
        <v/>
      </c>
      <c r="L26" s="87" t="str">
        <f t="shared" si="10"/>
        <v/>
      </c>
      <c r="M26" s="87" t="str">
        <f t="shared" si="10"/>
        <v/>
      </c>
      <c r="N26" s="87" t="str">
        <f t="shared" si="10"/>
        <v/>
      </c>
      <c r="O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2">
    <mergeCell ref="B2:O2"/>
    <mergeCell ref="B3:O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6.0"/>
    <col customWidth="1" min="3" max="3" width="20.0"/>
    <col customWidth="1" min="4" max="4" width="24.0"/>
    <col customWidth="1" min="5" max="5" width="28.0"/>
    <col customWidth="1" min="6" max="26" width="8.71"/>
  </cols>
  <sheetData>
    <row r="1">
      <c r="A1" s="1"/>
      <c r="B1" s="1"/>
      <c r="C1" s="1"/>
      <c r="D1" s="1"/>
      <c r="E1" s="1"/>
    </row>
    <row r="2" ht="27.75" customHeight="1">
      <c r="A2" s="1"/>
      <c r="B2" s="88" t="s">
        <v>185</v>
      </c>
      <c r="C2" s="3"/>
      <c r="D2" s="3"/>
      <c r="E2" s="4"/>
    </row>
    <row r="3">
      <c r="A3" s="1"/>
      <c r="B3" s="1"/>
      <c r="C3" s="1"/>
      <c r="D3" s="1"/>
      <c r="E3" s="1"/>
    </row>
    <row r="4" ht="19.5" customHeight="1">
      <c r="A4" s="1"/>
      <c r="B4" s="23" t="s">
        <v>186</v>
      </c>
      <c r="C4" s="3"/>
      <c r="D4" s="3"/>
      <c r="E4" s="4"/>
    </row>
    <row r="5" ht="21.75" customHeight="1">
      <c r="A5" s="1"/>
      <c r="B5" s="89" t="s">
        <v>187</v>
      </c>
      <c r="C5" s="90">
        <f>'📊 ОПУ'!O5</f>
        <v>23870000</v>
      </c>
      <c r="D5" s="27" t="s">
        <v>188</v>
      </c>
      <c r="E5" s="1"/>
    </row>
    <row r="6" ht="21.75" customHeight="1">
      <c r="A6" s="1"/>
      <c r="B6" s="89" t="s">
        <v>189</v>
      </c>
      <c r="C6" s="90">
        <f>'📊 ОПУ'!O7</f>
        <v>16709000</v>
      </c>
      <c r="D6" s="27" t="s">
        <v>190</v>
      </c>
      <c r="E6" s="1"/>
    </row>
    <row r="7" ht="21.75" customHeight="1">
      <c r="A7" s="1"/>
      <c r="B7" s="89" t="s">
        <v>191</v>
      </c>
      <c r="C7" s="90">
        <f>'📊 ОПУ'!O17</f>
        <v>10164252.18</v>
      </c>
      <c r="D7" s="27" t="s">
        <v>192</v>
      </c>
      <c r="E7" s="1"/>
    </row>
    <row r="8" ht="21.75" customHeight="1">
      <c r="A8" s="1"/>
      <c r="B8" s="89" t="s">
        <v>193</v>
      </c>
      <c r="C8" s="90">
        <f>'📊 ОПУ'!O20</f>
        <v>8732052.184</v>
      </c>
      <c r="D8" s="27" t="s">
        <v>194</v>
      </c>
      <c r="E8" s="1"/>
    </row>
    <row r="9" ht="21.75" customHeight="1">
      <c r="A9" s="1"/>
      <c r="B9" s="89" t="s">
        <v>195</v>
      </c>
      <c r="C9" s="91">
        <f>IFERROR('📊 ОПУ'!O7/'📊 ОПУ'!O5,0)</f>
        <v>0.7</v>
      </c>
      <c r="D9" s="27" t="s">
        <v>196</v>
      </c>
      <c r="E9" s="1"/>
    </row>
    <row r="10" ht="21.75" customHeight="1">
      <c r="A10" s="1"/>
      <c r="B10" s="89" t="s">
        <v>197</v>
      </c>
      <c r="C10" s="91">
        <f>IFERROR('📊 ОПУ'!O20/'📊 ОПУ'!O5,0)</f>
        <v>0.3658170165</v>
      </c>
      <c r="D10" s="27" t="s">
        <v>198</v>
      </c>
      <c r="E10" s="1"/>
    </row>
    <row r="11">
      <c r="A11" s="1"/>
      <c r="B11" s="1"/>
      <c r="C11" s="1"/>
      <c r="D11" s="1"/>
      <c r="E11" s="1"/>
    </row>
    <row r="12" ht="19.5" customHeight="1">
      <c r="A12" s="1"/>
      <c r="B12" s="28" t="s">
        <v>199</v>
      </c>
      <c r="C12" s="3"/>
      <c r="D12" s="3"/>
      <c r="E12" s="4"/>
    </row>
    <row r="13" ht="21.75" customHeight="1">
      <c r="A13" s="1"/>
      <c r="B13" s="89" t="s">
        <v>200</v>
      </c>
      <c r="C13" s="90">
        <f>'💰 ДДС'!C6</f>
        <v>500000</v>
      </c>
      <c r="D13" s="27" t="s">
        <v>201</v>
      </c>
      <c r="E13" s="1"/>
    </row>
    <row r="14" ht="21.75" customHeight="1">
      <c r="A14" s="1"/>
      <c r="B14" s="89" t="s">
        <v>202</v>
      </c>
      <c r="C14" s="90">
        <f>'💰 ДДС'!N25</f>
        <v>9559452.184</v>
      </c>
      <c r="D14" s="27" t="s">
        <v>203</v>
      </c>
      <c r="E14" s="1"/>
    </row>
    <row r="15" ht="21.75" customHeight="1">
      <c r="A15" s="1"/>
      <c r="B15" s="89" t="s">
        <v>204</v>
      </c>
      <c r="C15" s="92">
        <f>MIN('💰 ДДС'!C25,'💰 ДДС'!D25,'💰 ДДС'!E25,'💰 ДДС'!F25,'💰 ДДС'!G25,'💰 ДДС'!H25,'💰 ДДС'!I25,'💰 ДДС'!J25,'💰 ДДС'!K25,'💰 ДДС'!L25,'💰 ДДС'!M25,'💰 ДДС'!N25)</f>
        <v>880000</v>
      </c>
      <c r="D15" s="27" t="s">
        <v>205</v>
      </c>
      <c r="E15" s="1"/>
    </row>
    <row r="16" ht="21.75" customHeight="1">
      <c r="A16" s="1"/>
      <c r="B16" s="89" t="s">
        <v>206</v>
      </c>
      <c r="C16" s="93">
        <f>IFERROR(('💰 ДДС'!C6-'💰 ДДС'!N25)/12,0)</f>
        <v>-754954.3487</v>
      </c>
      <c r="D16" s="27" t="s">
        <v>207</v>
      </c>
      <c r="E16" s="1"/>
    </row>
    <row r="17" ht="21.75" customHeight="1">
      <c r="A17" s="1"/>
      <c r="B17" s="89" t="s">
        <v>208</v>
      </c>
      <c r="C17" s="94" t="str">
        <f>IFERROR(IF('💰 ДДС'!N25&gt;0,"&gt;12",TEXT('💰 ДДС'!C6/MAX(1,('💰 ДДС'!C6-'💰 ДДС'!N25)/12),"0.0")),"н/д")</f>
        <v>&gt;12</v>
      </c>
      <c r="D17" s="27" t="s">
        <v>209</v>
      </c>
      <c r="E17" s="1"/>
    </row>
    <row r="18">
      <c r="A18" s="1"/>
      <c r="B18" s="1"/>
      <c r="C18" s="1"/>
      <c r="D18" s="1"/>
      <c r="E18" s="1"/>
    </row>
    <row r="19" ht="19.5" customHeight="1">
      <c r="A19" s="1"/>
      <c r="B19" s="37" t="s">
        <v>210</v>
      </c>
      <c r="C19" s="3"/>
      <c r="D19" s="3"/>
      <c r="E19" s="4"/>
    </row>
    <row r="20" ht="21.75" customHeight="1">
      <c r="A20" s="1"/>
      <c r="B20" s="89" t="s">
        <v>211</v>
      </c>
      <c r="C20" s="90">
        <f>'⚙️ Допущения'!C50</f>
        <v>1500</v>
      </c>
      <c r="D20" s="27" t="s">
        <v>212</v>
      </c>
      <c r="E20" s="1"/>
    </row>
    <row r="21" ht="21.75" customHeight="1">
      <c r="A21" s="1"/>
      <c r="B21" s="89" t="s">
        <v>213</v>
      </c>
      <c r="C21" s="95">
        <f>'⚙️ Допущения'!C53*'⚙️ Допущения'!C13*'⚙️ Допущения'!C51*'⚙️ Допущения'!C52</f>
        <v>16000</v>
      </c>
      <c r="D21" s="27" t="s">
        <v>214</v>
      </c>
      <c r="E21" s="1"/>
    </row>
    <row r="22" ht="21.75" customHeight="1">
      <c r="A22" s="1"/>
      <c r="B22" s="89" t="s">
        <v>215</v>
      </c>
      <c r="C22" s="96">
        <f>IFERROR(('⚙️ Допущения'!C53*'⚙️ Допущения'!C13*'⚙️ Допущения'!C51*'⚙️ Допущения'!C52)/'⚙️ Допущения'!C50,0)</f>
        <v>10.66666667</v>
      </c>
      <c r="D22" s="27" t="s">
        <v>216</v>
      </c>
      <c r="E22" s="1"/>
    </row>
    <row r="23" ht="15.75" customHeight="1">
      <c r="A23" s="1"/>
      <c r="B23" s="1"/>
      <c r="C23" s="1"/>
      <c r="D23" s="1"/>
      <c r="E23" s="1"/>
    </row>
    <row r="24" ht="19.5" customHeight="1">
      <c r="A24" s="1"/>
      <c r="B24" s="23" t="s">
        <v>217</v>
      </c>
      <c r="C24" s="3"/>
      <c r="D24" s="3"/>
      <c r="E24" s="4"/>
    </row>
    <row r="25" ht="21.75" customHeight="1">
      <c r="A25" s="1"/>
      <c r="B25" s="89" t="s">
        <v>218</v>
      </c>
      <c r="C25" s="90">
        <f>'💸 Расходы'!O13/12</f>
        <v>346478.9846</v>
      </c>
      <c r="D25" s="27" t="s">
        <v>219</v>
      </c>
      <c r="E25" s="1"/>
    </row>
    <row r="26" ht="21.75" customHeight="1">
      <c r="A26" s="1"/>
      <c r="B26" s="89" t="s">
        <v>108</v>
      </c>
      <c r="C26" s="97">
        <f>'⚙️ Допущения'!C53</f>
        <v>0.4</v>
      </c>
      <c r="D26" s="27" t="s">
        <v>220</v>
      </c>
      <c r="E26" s="1"/>
    </row>
    <row r="27" ht="21.75" customHeight="1">
      <c r="A27" s="1"/>
      <c r="B27" s="89" t="s">
        <v>221</v>
      </c>
      <c r="C27" s="92">
        <f>IFERROR(('💸 Расходы'!O13/12)/(1-'⚙️ Допущения'!C53-(1-'⚙️ Допущения'!C53)*('⚙️ Допущения'!C34+'⚙️ Допущения'!C35+'⚙️ Допущения'!C36)),0)</f>
        <v>641627.7493</v>
      </c>
      <c r="D27" s="27" t="s">
        <v>222</v>
      </c>
      <c r="E27" s="1"/>
    </row>
    <row r="28" ht="21.75" customHeight="1">
      <c r="A28" s="1"/>
      <c r="B28" s="89" t="s">
        <v>223</v>
      </c>
      <c r="C28" s="98" t="str">
        <f>IF('📊 ОПУ'!N20&gt;0,"✅ Да — в декабре",IF('📊 ОПУ'!O20&gt;0,"✅ Да — в году","❌ Нет в этом году"))</f>
        <v>✅ Да — в декабре</v>
      </c>
      <c r="D28" s="27" t="s">
        <v>224</v>
      </c>
      <c r="E28" s="1"/>
    </row>
    <row r="29" ht="15.75" customHeight="1">
      <c r="A29" s="1"/>
      <c r="B29" s="1"/>
      <c r="C29" s="1"/>
      <c r="D29" s="1"/>
      <c r="E29" s="1"/>
    </row>
    <row r="30" ht="15.0" customHeight="1">
      <c r="A30" s="1"/>
      <c r="B30" s="22" t="s">
        <v>225</v>
      </c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mergeCells count="6">
    <mergeCell ref="B2:E2"/>
    <mergeCell ref="B4:E4"/>
    <mergeCell ref="B12:E12"/>
    <mergeCell ref="B19:E19"/>
    <mergeCell ref="B24:E24"/>
    <mergeCell ref="B30:E3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2026-04-12T09:30:28Z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